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OM PARSER_Derating_Ver1.0.0\"/>
    </mc:Choice>
  </mc:AlternateContent>
  <xr:revisionPtr revIDLastSave="0" documentId="13_ncr:1_{7BE5D010-D90D-4988-9F2F-6D9337A36F25}" xr6:coauthVersionLast="47" xr6:coauthVersionMax="47" xr10:uidLastSave="{00000000-0000-0000-0000-000000000000}"/>
  <bookViews>
    <workbookView xWindow="-120" yWindow="-120" windowWidth="29040" windowHeight="15720" tabRatio="731" activeTab="10" xr2:uid="{00000000-000D-0000-FFFF-FFFF00000000}"/>
  </bookViews>
  <sheets>
    <sheet name="Revision History" sheetId="11" r:id="rId1"/>
    <sheet name="Resistor" sheetId="1" r:id="rId2"/>
    <sheet name="Capacitor" sheetId="2" r:id="rId3"/>
    <sheet name="Inductor" sheetId="3" r:id="rId4"/>
    <sheet name="Diode(Schottky_switching)" sheetId="13" r:id="rId5"/>
    <sheet name="Diode(ESD_Zener_Surge)" sheetId="12" r:id="rId6"/>
    <sheet name="FET&amp;TR" sheetId="5" r:id="rId7"/>
    <sheet name="DCDC &amp; LDO" sheetId="14" r:id="rId8"/>
    <sheet name="IC" sheetId="7" r:id="rId9"/>
    <sheet name="Connector" sheetId="8" r:id="rId10"/>
    <sheet name="Fuse" sheetId="15" r:id="rId11"/>
    <sheet name="Relay" sheetId="16" r:id="rId12"/>
  </sheets>
  <definedNames>
    <definedName name="_xlnm._FilterDatabase" localSheetId="5" hidden="1">'Diode(ESD_Zener_Surge)'!$A$1:$I$55</definedName>
    <definedName name="_xlnm._FilterDatabase" localSheetId="4" hidden="1">'Diode(Schottky_switching)'!$A$1:$I$55</definedName>
    <definedName name="_xlnm._FilterDatabase" localSheetId="1" hidden="1">Resistor!$A$5:$I$5</definedName>
    <definedName name="_xlnm.Print_Area" localSheetId="2">Capacitor!$A$1:$I$232</definedName>
    <definedName name="_xlnm.Print_Area" localSheetId="1">Resistor!$A$1:$I$153</definedName>
  </definedNames>
  <calcPr calcId="191029"/>
</workbook>
</file>

<file path=xl/calcChain.xml><?xml version="1.0" encoding="utf-8"?>
<calcChain xmlns="http://schemas.openxmlformats.org/spreadsheetml/2006/main">
  <c r="F6" i="16" l="1"/>
  <c r="H6" i="16" s="1"/>
  <c r="F7" i="16"/>
  <c r="H7" i="16" s="1"/>
  <c r="F6" i="15"/>
  <c r="H6" i="15" s="1"/>
  <c r="F65" i="16"/>
  <c r="H65" i="16" s="1"/>
  <c r="H64" i="16"/>
  <c r="F64" i="16"/>
  <c r="F63" i="16"/>
  <c r="H63" i="16" s="1"/>
  <c r="F62" i="16"/>
  <c r="H62" i="16" s="1"/>
  <c r="F61" i="16"/>
  <c r="H61" i="16" s="1"/>
  <c r="F60" i="16"/>
  <c r="H60" i="16" s="1"/>
  <c r="F59" i="16"/>
  <c r="H59" i="16" s="1"/>
  <c r="F58" i="16"/>
  <c r="H58" i="16" s="1"/>
  <c r="F57" i="16"/>
  <c r="H57" i="16" s="1"/>
  <c r="H56" i="16"/>
  <c r="F56" i="16"/>
  <c r="F55" i="16"/>
  <c r="H55" i="16" s="1"/>
  <c r="H54" i="16"/>
  <c r="F54" i="16"/>
  <c r="F53" i="16"/>
  <c r="H53" i="16" s="1"/>
  <c r="F52" i="16"/>
  <c r="H52" i="16" s="1"/>
  <c r="F51" i="16"/>
  <c r="H51" i="16" s="1"/>
  <c r="F50" i="16"/>
  <c r="H50" i="16" s="1"/>
  <c r="F49" i="16"/>
  <c r="H49" i="16" s="1"/>
  <c r="H48" i="16"/>
  <c r="F48" i="16"/>
  <c r="F47" i="16"/>
  <c r="H47" i="16" s="1"/>
  <c r="H46" i="16"/>
  <c r="F46" i="16"/>
  <c r="F45" i="16"/>
  <c r="H45" i="16" s="1"/>
  <c r="F44" i="16"/>
  <c r="H44" i="16" s="1"/>
  <c r="F43" i="16"/>
  <c r="H43" i="16" s="1"/>
  <c r="F42" i="16"/>
  <c r="H42" i="16" s="1"/>
  <c r="F41" i="16"/>
  <c r="H41" i="16" s="1"/>
  <c r="H40" i="16"/>
  <c r="F40" i="16"/>
  <c r="F39" i="16"/>
  <c r="H39" i="16" s="1"/>
  <c r="H38" i="16"/>
  <c r="F38" i="16"/>
  <c r="F37" i="16"/>
  <c r="H37" i="16" s="1"/>
  <c r="F36" i="16"/>
  <c r="H36" i="16" s="1"/>
  <c r="F35" i="16"/>
  <c r="H35" i="16" s="1"/>
  <c r="F34" i="16"/>
  <c r="H34" i="16" s="1"/>
  <c r="F33" i="16"/>
  <c r="H33" i="16" s="1"/>
  <c r="H32" i="16"/>
  <c r="F32" i="16"/>
  <c r="F31" i="16"/>
  <c r="H31" i="16" s="1"/>
  <c r="H30" i="16"/>
  <c r="F30" i="16"/>
  <c r="F29" i="16"/>
  <c r="H29" i="16" s="1"/>
  <c r="F28" i="16"/>
  <c r="H28" i="16" s="1"/>
  <c r="F27" i="16"/>
  <c r="H27" i="16" s="1"/>
  <c r="F26" i="16"/>
  <c r="H26" i="16" s="1"/>
  <c r="F25" i="16"/>
  <c r="H25" i="16" s="1"/>
  <c r="F24" i="16"/>
  <c r="H24" i="16" s="1"/>
  <c r="F23" i="16"/>
  <c r="H23" i="16" s="1"/>
  <c r="H22" i="16"/>
  <c r="F22" i="16"/>
  <c r="F21" i="16"/>
  <c r="H21" i="16" s="1"/>
  <c r="F20" i="16"/>
  <c r="H20" i="16" s="1"/>
  <c r="F19" i="16"/>
  <c r="H19" i="16" s="1"/>
  <c r="F18" i="16"/>
  <c r="H18" i="16" s="1"/>
  <c r="F17" i="16"/>
  <c r="H17" i="16" s="1"/>
  <c r="F16" i="16"/>
  <c r="H16" i="16" s="1"/>
  <c r="F15" i="16"/>
  <c r="H15" i="16" s="1"/>
  <c r="H14" i="16"/>
  <c r="F14" i="16"/>
  <c r="F13" i="16"/>
  <c r="H13" i="16" s="1"/>
  <c r="F12" i="16"/>
  <c r="H12" i="16" s="1"/>
  <c r="F11" i="16"/>
  <c r="H11" i="16" s="1"/>
  <c r="F10" i="16"/>
  <c r="H10" i="16" s="1"/>
  <c r="F9" i="16"/>
  <c r="H9" i="16" s="1"/>
  <c r="F8" i="16"/>
  <c r="H8" i="16" s="1"/>
  <c r="F35" i="15"/>
  <c r="H35" i="15" s="1"/>
  <c r="F34" i="15"/>
  <c r="H34" i="15" s="1"/>
  <c r="F33" i="15"/>
  <c r="H33" i="15" s="1"/>
  <c r="F32" i="15"/>
  <c r="H32" i="15" s="1"/>
  <c r="F31" i="15"/>
  <c r="H31" i="15" s="1"/>
  <c r="F30" i="15"/>
  <c r="H30" i="15" s="1"/>
  <c r="F29" i="15"/>
  <c r="H29" i="15" s="1"/>
  <c r="F28" i="15"/>
  <c r="H28" i="15" s="1"/>
  <c r="F27" i="15"/>
  <c r="H27" i="15" s="1"/>
  <c r="F26" i="15"/>
  <c r="H26" i="15" s="1"/>
  <c r="F25" i="15"/>
  <c r="H25" i="15" s="1"/>
  <c r="F24" i="15"/>
  <c r="H24" i="15" s="1"/>
  <c r="F23" i="15"/>
  <c r="H23" i="15" s="1"/>
  <c r="F22" i="15"/>
  <c r="H22" i="15" s="1"/>
  <c r="F21" i="15"/>
  <c r="H21" i="15" s="1"/>
  <c r="F20" i="15"/>
  <c r="H20" i="15" s="1"/>
  <c r="F19" i="15"/>
  <c r="H19" i="15" s="1"/>
  <c r="F18" i="15"/>
  <c r="H18" i="15" s="1"/>
  <c r="F17" i="15"/>
  <c r="H17" i="15" s="1"/>
  <c r="F16" i="15"/>
  <c r="H16" i="15" s="1"/>
  <c r="F15" i="15"/>
  <c r="H15" i="15" s="1"/>
  <c r="F14" i="15"/>
  <c r="H14" i="15" s="1"/>
  <c r="F13" i="15"/>
  <c r="H13" i="15" s="1"/>
  <c r="F12" i="15"/>
  <c r="H12" i="15" s="1"/>
  <c r="F11" i="15"/>
  <c r="H11" i="15" s="1"/>
  <c r="F10" i="15"/>
  <c r="H10" i="15" s="1"/>
  <c r="F9" i="15"/>
  <c r="H9" i="15" s="1"/>
  <c r="F8" i="15"/>
  <c r="H8" i="15" s="1"/>
  <c r="F7" i="15"/>
  <c r="H7" i="15" s="1"/>
  <c r="G153" i="1"/>
  <c r="G80" i="14"/>
  <c r="I80" i="14" s="1"/>
  <c r="G79" i="14"/>
  <c r="I79" i="14" s="1"/>
  <c r="G78" i="14"/>
  <c r="I78" i="14" s="1"/>
  <c r="G77" i="14"/>
  <c r="I77" i="14" s="1"/>
  <c r="G76" i="14"/>
  <c r="I76" i="14" s="1"/>
  <c r="G75" i="14"/>
  <c r="I75" i="14" s="1"/>
  <c r="G74" i="14"/>
  <c r="I74" i="14" s="1"/>
  <c r="G73" i="14"/>
  <c r="I73" i="14" s="1"/>
  <c r="G72" i="14"/>
  <c r="I72" i="14" s="1"/>
  <c r="G71" i="14"/>
  <c r="I71" i="14" s="1"/>
  <c r="G70" i="14"/>
  <c r="I70" i="14" s="1"/>
  <c r="G69" i="14"/>
  <c r="I69" i="14" s="1"/>
  <c r="G8" i="14"/>
  <c r="I8" i="14" s="1"/>
  <c r="G7" i="14"/>
  <c r="I7" i="14" s="1"/>
  <c r="G6" i="14"/>
  <c r="I6" i="14" s="1"/>
  <c r="G23" i="13"/>
  <c r="I23" i="13" s="1"/>
  <c r="G22" i="13"/>
  <c r="I22" i="13" s="1"/>
  <c r="G7" i="13"/>
  <c r="I7" i="13" s="1"/>
  <c r="G6" i="13"/>
  <c r="I6" i="13" s="1"/>
  <c r="G6" i="2"/>
  <c r="I6" i="2" s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6" i="1"/>
  <c r="I6" i="1" s="1"/>
  <c r="G9" i="12"/>
  <c r="I9" i="12" s="1"/>
  <c r="G8" i="12" l="1"/>
  <c r="I8" i="12" s="1"/>
  <c r="F27" i="7" l="1"/>
  <c r="H27" i="7" s="1"/>
  <c r="F28" i="7"/>
  <c r="H28" i="7" s="1"/>
  <c r="F29" i="7"/>
  <c r="H29" i="7" s="1"/>
  <c r="F30" i="7"/>
  <c r="H30" i="7" s="1"/>
  <c r="F31" i="7"/>
  <c r="H31" i="7" s="1"/>
  <c r="F32" i="7"/>
  <c r="H32" i="7" s="1"/>
  <c r="F33" i="7"/>
  <c r="H33" i="7" s="1"/>
  <c r="F34" i="7"/>
  <c r="H34" i="7" s="1"/>
  <c r="F35" i="7"/>
  <c r="H35" i="7" s="1"/>
  <c r="F36" i="7"/>
  <c r="H36" i="7" s="1"/>
  <c r="F37" i="7"/>
  <c r="H37" i="7" s="1"/>
  <c r="F38" i="7"/>
  <c r="H38" i="7" s="1"/>
  <c r="F39" i="7"/>
  <c r="H39" i="7" s="1"/>
  <c r="G92" i="5"/>
  <c r="I92" i="5" s="1"/>
  <c r="G93" i="5"/>
  <c r="I93" i="5" s="1"/>
  <c r="G94" i="5"/>
  <c r="I94" i="5" s="1"/>
  <c r="G95" i="5"/>
  <c r="I95" i="5" s="1"/>
  <c r="G29" i="3"/>
  <c r="I29" i="3" s="1"/>
  <c r="G7" i="5"/>
  <c r="I7" i="5" s="1"/>
  <c r="F6" i="8"/>
  <c r="H6" i="8" s="1"/>
  <c r="G6" i="3"/>
  <c r="I6" i="3" s="1"/>
  <c r="F6" i="7"/>
  <c r="H6" i="7" s="1"/>
  <c r="G6" i="5"/>
  <c r="I6" i="5" s="1"/>
</calcChain>
</file>

<file path=xl/sharedStrings.xml><?xml version="1.0" encoding="utf-8"?>
<sst xmlns="http://schemas.openxmlformats.org/spreadsheetml/2006/main" count="206" uniqueCount="79">
  <si>
    <t>Part Number</t>
  </si>
  <si>
    <t>정격값 (Spec)</t>
  </si>
  <si>
    <t>실제 사용값</t>
  </si>
  <si>
    <t>권장 디레이팅 기준</t>
  </si>
  <si>
    <t>≤ 80%</t>
  </si>
  <si>
    <t>≤ 70%</t>
  </si>
  <si>
    <t>≤ 100%</t>
  </si>
  <si>
    <t>≤ 60%</t>
    <phoneticPr fontId="2" type="noConversion"/>
  </si>
  <si>
    <t>No</t>
    <phoneticPr fontId="2" type="noConversion"/>
  </si>
  <si>
    <t>Ref.</t>
    <phoneticPr fontId="2" type="noConversion"/>
  </si>
  <si>
    <t>사용비율 (%) - 자동</t>
    <phoneticPr fontId="2" type="noConversion"/>
  </si>
  <si>
    <t>Pass/Fail - 자동</t>
    <phoneticPr fontId="2" type="noConversion"/>
  </si>
  <si>
    <t>Derating 검토(Capacitor)</t>
    <phoneticPr fontId="3" type="noConversion"/>
  </si>
  <si>
    <t>Derating 검토(Resistor)</t>
    <phoneticPr fontId="3" type="noConversion"/>
  </si>
  <si>
    <t>Derating 검토(Inductor)</t>
    <phoneticPr fontId="3" type="noConversion"/>
  </si>
  <si>
    <t>Derating 검토(Diode)</t>
    <phoneticPr fontId="3" type="noConversion"/>
  </si>
  <si>
    <t>Derating 검토(FET &amp; TR)</t>
    <phoneticPr fontId="3" type="noConversion"/>
  </si>
  <si>
    <t>Derating 검토(IC)</t>
    <phoneticPr fontId="3" type="noConversion"/>
  </si>
  <si>
    <t>Derating 검토(Connector)</t>
    <phoneticPr fontId="3" type="noConversion"/>
  </si>
  <si>
    <t>작성 일자</t>
  </si>
  <si>
    <t>담당자</t>
  </si>
  <si>
    <t>Model</t>
  </si>
  <si>
    <t>Result</t>
  </si>
  <si>
    <t>세부 규격</t>
    <phoneticPr fontId="2" type="noConversion"/>
  </si>
  <si>
    <t>CL03A104KQ3NNNC</t>
  </si>
  <si>
    <t>0603 K 100nF 6.3V</t>
  </si>
  <si>
    <t>SPEC</t>
    <phoneticPr fontId="2" type="noConversion"/>
  </si>
  <si>
    <t>6.3V</t>
    <phoneticPr fontId="2" type="noConversion"/>
  </si>
  <si>
    <t>실제 사용값[W]</t>
    <phoneticPr fontId="2" type="noConversion"/>
  </si>
  <si>
    <t>PASS</t>
    <phoneticPr fontId="2" type="noConversion"/>
  </si>
  <si>
    <t>≤ 100%</t>
    <phoneticPr fontId="2" type="noConversion"/>
  </si>
  <si>
    <t>Revision History</t>
    <phoneticPr fontId="3" type="noConversion"/>
  </si>
  <si>
    <t>Version</t>
    <phoneticPr fontId="3" type="noConversion"/>
  </si>
  <si>
    <t>변경 일</t>
    <phoneticPr fontId="3" type="noConversion"/>
  </si>
  <si>
    <t>변경 자</t>
    <phoneticPr fontId="3" type="noConversion"/>
  </si>
  <si>
    <t>변경 내용</t>
    <phoneticPr fontId="3" type="noConversion"/>
  </si>
  <si>
    <t>MH Kim</t>
    <phoneticPr fontId="3" type="noConversion"/>
  </si>
  <si>
    <t>정격값 (Spec)
[W]</t>
    <phoneticPr fontId="2" type="noConversion"/>
  </si>
  <si>
    <t>≥ 25%</t>
    <phoneticPr fontId="2" type="noConversion"/>
  </si>
  <si>
    <t>권장 디레이팅 기준</t>
    <phoneticPr fontId="2" type="noConversion"/>
  </si>
  <si>
    <t>Vrwm[V]</t>
    <phoneticPr fontId="2" type="noConversion"/>
  </si>
  <si>
    <t>Vbr or Vpt[V]</t>
    <phoneticPr fontId="2" type="noConversion"/>
  </si>
  <si>
    <t>실제 사용값</t>
    <phoneticPr fontId="2" type="noConversion"/>
  </si>
  <si>
    <t>정격값 (Spec)</t>
    <phoneticPr fontId="2" type="noConversion"/>
  </si>
  <si>
    <t>100% Very good</t>
    <phoneticPr fontId="2" type="noConversion"/>
  </si>
  <si>
    <t>높은 값일수록 good</t>
    <phoneticPr fontId="2" type="noConversion"/>
  </si>
  <si>
    <t>V0.1</t>
    <phoneticPr fontId="3" type="noConversion"/>
  </si>
  <si>
    <t>Derating 초안 작성 (용도에 따른 Diode 관련 기준을 구분)</t>
    <phoneticPr fontId="3" type="noConversion"/>
  </si>
  <si>
    <t>2025 12. 08</t>
    <phoneticPr fontId="3" type="noConversion"/>
  </si>
  <si>
    <t>R10</t>
    <phoneticPr fontId="2" type="noConversion"/>
  </si>
  <si>
    <t>WR02X000PAL</t>
  </si>
  <si>
    <t>0603 J 0Ω</t>
  </si>
  <si>
    <t>C10</t>
    <phoneticPr fontId="2" type="noConversion"/>
  </si>
  <si>
    <t>D10</t>
    <phoneticPr fontId="2" type="noConversion"/>
  </si>
  <si>
    <t>PS03CBUL2</t>
    <phoneticPr fontId="2" type="noConversion"/>
  </si>
  <si>
    <t>TVS, Bi-Dir, VRWM=3.3V, VBR=3.4V~, Vc=10V(@7A), CT=9pF</t>
    <phoneticPr fontId="2" type="noConversion"/>
  </si>
  <si>
    <t>P1270148 PH1.27 2X4P</t>
    <phoneticPr fontId="2" type="noConversion"/>
  </si>
  <si>
    <t>CON10</t>
    <phoneticPr fontId="2" type="noConversion"/>
  </si>
  <si>
    <t>BLM15HD102SN1D</t>
    <phoneticPr fontId="2" type="noConversion"/>
  </si>
  <si>
    <t>CHIP FERRITE BEAD 1575MHz 1kΩ</t>
    <phoneticPr fontId="2" type="noConversion"/>
  </si>
  <si>
    <t>FB10</t>
    <phoneticPr fontId="2" type="noConversion"/>
  </si>
  <si>
    <t>KRC403E-RTK/P</t>
    <phoneticPr fontId="2" type="noConversion"/>
  </si>
  <si>
    <t>Q500</t>
    <phoneticPr fontId="2" type="noConversion"/>
  </si>
  <si>
    <r>
      <t>-4.2A, -20V,RDS(ON) 65m</t>
    </r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맑은 고딕"/>
        <family val="2"/>
        <scheme val="minor"/>
      </rPr>
      <t>, P-CH FETSmall Signal MOSFET, 300 mAmps, 60 Volts, N–Channel SOT–23</t>
    </r>
    <phoneticPr fontId="2" type="noConversion"/>
  </si>
  <si>
    <t>U10</t>
    <phoneticPr fontId="2" type="noConversion"/>
  </si>
  <si>
    <t>MAX2659ELT+</t>
    <phoneticPr fontId="2" type="noConversion"/>
  </si>
  <si>
    <t>정격값 (Spec)
Voltage[V]
Current[A]</t>
    <phoneticPr fontId="2" type="noConversion"/>
  </si>
  <si>
    <t>실제 사용값
Voltage[V]
Current[A]</t>
    <phoneticPr fontId="2" type="noConversion"/>
  </si>
  <si>
    <t>D650</t>
  </si>
  <si>
    <t>BAT54C</t>
    <phoneticPr fontId="2" type="noConversion"/>
  </si>
  <si>
    <t>SCHOTTKY DIODE</t>
    <phoneticPr fontId="2" type="noConversion"/>
  </si>
  <si>
    <t>≤ 80%</t>
    <phoneticPr fontId="2" type="noConversion"/>
  </si>
  <si>
    <t>Derating 검토(DCDC &amp; LDO)</t>
    <phoneticPr fontId="3" type="noConversion"/>
  </si>
  <si>
    <t>U500</t>
    <phoneticPr fontId="2" type="noConversion"/>
  </si>
  <si>
    <t>MT3162</t>
    <phoneticPr fontId="2" type="noConversion"/>
  </si>
  <si>
    <t>5V Input 2A/3A(Peak) 2.5MHz Synchronous Step-Down DC/DC</t>
    <phoneticPr fontId="2" type="noConversion"/>
  </si>
  <si>
    <t>≤ 85%</t>
    <phoneticPr fontId="2" type="noConversion"/>
  </si>
  <si>
    <t>Derating 검토(Fuse)</t>
    <phoneticPr fontId="3" type="noConversion"/>
  </si>
  <si>
    <t>Derating 검토(Relay)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</si>
</sst>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0"/>
  </numFmts>
  <fonts count="14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rgb="FF222222"/>
      <name val="Arial"/>
      <family val="2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Calibri"/>
      <family val="2"/>
      <charset val="161"/>
    </font>
    <font>
      <sz val="1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EECE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6" fillId="0" borderId="1" xfId="0" applyFont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0" fillId="0" borderId="3" xfId="0" quotePrefix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B6EA7-8062-4DE8-B2BD-E3A44D0A172D}">
  <dimension ref="B1:AU39"/>
  <sheetViews>
    <sheetView zoomScale="115" zoomScaleNormal="115" workbookViewId="0">
      <selection activeCell="M11" sqref="M11:AU11"/>
    </sheetView>
  </sheetViews>
  <sheetFormatPr defaultColWidth="9.125" defaultRowHeight="16.5"/>
  <cols>
    <col min="1" max="47" width="3" style="2" customWidth="1"/>
    <col min="48" max="16384" width="9.125" style="2"/>
  </cols>
  <sheetData>
    <row r="1" spans="2:47" ht="17.25" thickBot="1"/>
    <row r="2" spans="2:47" ht="39" thickBot="1">
      <c r="B2" s="54" t="s">
        <v>31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6"/>
    </row>
    <row r="3" spans="2:47" ht="17.25" thickBot="1">
      <c r="B3" s="57" t="s">
        <v>32</v>
      </c>
      <c r="C3" s="57"/>
      <c r="D3" s="57"/>
      <c r="E3" s="57"/>
      <c r="F3" s="57" t="s">
        <v>33</v>
      </c>
      <c r="G3" s="57"/>
      <c r="H3" s="57"/>
      <c r="I3" s="57"/>
      <c r="J3" s="58" t="s">
        <v>34</v>
      </c>
      <c r="K3" s="59"/>
      <c r="L3" s="60"/>
      <c r="M3" s="58" t="s">
        <v>35</v>
      </c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60"/>
    </row>
    <row r="4" spans="2:47" ht="17.25" thickBot="1">
      <c r="B4" s="41" t="s">
        <v>46</v>
      </c>
      <c r="C4" s="41"/>
      <c r="D4" s="41"/>
      <c r="E4" s="41"/>
      <c r="F4" s="41" t="s">
        <v>48</v>
      </c>
      <c r="G4" s="41"/>
      <c r="H4" s="41"/>
      <c r="I4" s="41"/>
      <c r="J4" s="48" t="s">
        <v>36</v>
      </c>
      <c r="K4" s="49"/>
      <c r="L4" s="50"/>
      <c r="M4" s="51" t="s">
        <v>47</v>
      </c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3"/>
    </row>
    <row r="5" spans="2:47" ht="17.25" thickBot="1">
      <c r="B5" s="41"/>
      <c r="C5" s="41"/>
      <c r="D5" s="41"/>
      <c r="E5" s="41"/>
      <c r="F5" s="41"/>
      <c r="G5" s="41"/>
      <c r="H5" s="41"/>
      <c r="I5" s="41"/>
      <c r="J5" s="48"/>
      <c r="K5" s="49"/>
      <c r="L5" s="50"/>
      <c r="M5" s="51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3"/>
    </row>
    <row r="6" spans="2:47" ht="17.25" thickBot="1">
      <c r="B6" s="41"/>
      <c r="C6" s="41"/>
      <c r="D6" s="41"/>
      <c r="E6" s="41"/>
      <c r="F6" s="41"/>
      <c r="G6" s="41"/>
      <c r="H6" s="41"/>
      <c r="I6" s="41"/>
      <c r="J6" s="48"/>
      <c r="K6" s="49"/>
      <c r="L6" s="50"/>
      <c r="M6" s="51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3"/>
    </row>
    <row r="7" spans="2:47" ht="17.25" thickBot="1">
      <c r="B7" s="41"/>
      <c r="C7" s="41"/>
      <c r="D7" s="41"/>
      <c r="E7" s="41"/>
      <c r="F7" s="41"/>
      <c r="G7" s="41"/>
      <c r="H7" s="41"/>
      <c r="I7" s="41"/>
      <c r="J7" s="48"/>
      <c r="K7" s="49"/>
      <c r="L7" s="50"/>
      <c r="M7" s="51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3"/>
    </row>
    <row r="8" spans="2:47" ht="17.25" thickBot="1">
      <c r="B8" s="41"/>
      <c r="C8" s="41"/>
      <c r="D8" s="41"/>
      <c r="E8" s="41"/>
      <c r="F8" s="41"/>
      <c r="G8" s="41"/>
      <c r="H8" s="41"/>
      <c r="I8" s="41"/>
      <c r="J8" s="48"/>
      <c r="K8" s="49"/>
      <c r="L8" s="50"/>
      <c r="M8" s="51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3"/>
    </row>
    <row r="9" spans="2:47" ht="17.25" thickBot="1">
      <c r="B9" s="41"/>
      <c r="C9" s="41"/>
      <c r="D9" s="41"/>
      <c r="E9" s="41"/>
      <c r="F9" s="41"/>
      <c r="G9" s="41"/>
      <c r="H9" s="41"/>
      <c r="I9" s="41"/>
      <c r="J9" s="48"/>
      <c r="K9" s="49"/>
      <c r="L9" s="50"/>
      <c r="M9" s="51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3"/>
    </row>
    <row r="10" spans="2:47" ht="17.25" thickBot="1">
      <c r="B10" s="41"/>
      <c r="C10" s="41"/>
      <c r="D10" s="41"/>
      <c r="E10" s="41"/>
      <c r="F10" s="41"/>
      <c r="G10" s="41"/>
      <c r="H10" s="41"/>
      <c r="I10" s="41"/>
      <c r="J10" s="42"/>
      <c r="K10" s="43"/>
      <c r="L10" s="44"/>
      <c r="M10" s="45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7"/>
    </row>
    <row r="11" spans="2:47" ht="17.25" thickBot="1">
      <c r="B11" s="41"/>
      <c r="C11" s="41"/>
      <c r="D11" s="41"/>
      <c r="E11" s="41"/>
      <c r="F11" s="41"/>
      <c r="G11" s="41"/>
      <c r="H11" s="41"/>
      <c r="I11" s="41"/>
      <c r="J11" s="42"/>
      <c r="K11" s="43"/>
      <c r="L11" s="44"/>
      <c r="M11" s="45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7"/>
    </row>
    <row r="12" spans="2:47" ht="17.25" thickBot="1">
      <c r="B12" s="41"/>
      <c r="C12" s="41"/>
      <c r="D12" s="41"/>
      <c r="E12" s="41"/>
      <c r="F12" s="41"/>
      <c r="G12" s="41"/>
      <c r="H12" s="41"/>
      <c r="I12" s="41"/>
      <c r="J12" s="42"/>
      <c r="K12" s="43"/>
      <c r="L12" s="44"/>
      <c r="M12" s="45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7"/>
    </row>
    <row r="13" spans="2:47" ht="17.25" thickBot="1">
      <c r="B13" s="41"/>
      <c r="C13" s="41"/>
      <c r="D13" s="41"/>
      <c r="E13" s="41"/>
      <c r="F13" s="41"/>
      <c r="G13" s="41"/>
      <c r="H13" s="41"/>
      <c r="I13" s="41"/>
      <c r="J13" s="42"/>
      <c r="K13" s="43"/>
      <c r="L13" s="44"/>
      <c r="M13" s="45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7"/>
    </row>
    <row r="14" spans="2:47" ht="17.25" thickBot="1">
      <c r="B14" s="41"/>
      <c r="C14" s="41"/>
      <c r="D14" s="41"/>
      <c r="E14" s="41"/>
      <c r="F14" s="41"/>
      <c r="G14" s="41"/>
      <c r="H14" s="41"/>
      <c r="I14" s="41"/>
      <c r="J14" s="42"/>
      <c r="K14" s="43"/>
      <c r="L14" s="44"/>
      <c r="M14" s="45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7"/>
    </row>
    <row r="15" spans="2:47" ht="17.25" thickBot="1">
      <c r="B15" s="41"/>
      <c r="C15" s="41"/>
      <c r="D15" s="41"/>
      <c r="E15" s="41"/>
      <c r="F15" s="41"/>
      <c r="G15" s="41"/>
      <c r="H15" s="41"/>
      <c r="I15" s="41"/>
      <c r="J15" s="42"/>
      <c r="K15" s="43"/>
      <c r="L15" s="44"/>
      <c r="M15" s="45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7"/>
    </row>
    <row r="16" spans="2:47" ht="17.25" thickBot="1">
      <c r="B16" s="41"/>
      <c r="C16" s="41"/>
      <c r="D16" s="41"/>
      <c r="E16" s="41"/>
      <c r="F16" s="41"/>
      <c r="G16" s="41"/>
      <c r="H16" s="41"/>
      <c r="I16" s="41"/>
      <c r="J16" s="42"/>
      <c r="K16" s="43"/>
      <c r="L16" s="44"/>
      <c r="M16" s="45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7"/>
    </row>
    <row r="17" spans="2:47" ht="17.25" thickBot="1">
      <c r="B17" s="41"/>
      <c r="C17" s="41"/>
      <c r="D17" s="41"/>
      <c r="E17" s="41"/>
      <c r="F17" s="41"/>
      <c r="G17" s="41"/>
      <c r="H17" s="41"/>
      <c r="I17" s="41"/>
      <c r="J17" s="42"/>
      <c r="K17" s="43"/>
      <c r="L17" s="44"/>
      <c r="M17" s="45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7"/>
    </row>
    <row r="18" spans="2:47" ht="17.25" thickBot="1">
      <c r="B18" s="41"/>
      <c r="C18" s="41"/>
      <c r="D18" s="41"/>
      <c r="E18" s="41"/>
      <c r="F18" s="41"/>
      <c r="G18" s="41"/>
      <c r="H18" s="41"/>
      <c r="I18" s="41"/>
      <c r="J18" s="42"/>
      <c r="K18" s="43"/>
      <c r="L18" s="44"/>
      <c r="M18" s="45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7"/>
    </row>
    <row r="19" spans="2:47" ht="17.25" thickBot="1">
      <c r="B19" s="41"/>
      <c r="C19" s="41"/>
      <c r="D19" s="41"/>
      <c r="E19" s="41"/>
      <c r="F19" s="41"/>
      <c r="G19" s="41"/>
      <c r="H19" s="41"/>
      <c r="I19" s="41"/>
      <c r="J19" s="42"/>
      <c r="K19" s="43"/>
      <c r="L19" s="44"/>
      <c r="M19" s="45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7"/>
    </row>
    <row r="20" spans="2:47" ht="17.25" thickBot="1">
      <c r="B20" s="41"/>
      <c r="C20" s="41"/>
      <c r="D20" s="41"/>
      <c r="E20" s="41"/>
      <c r="F20" s="41"/>
      <c r="G20" s="41"/>
      <c r="H20" s="41"/>
      <c r="I20" s="41"/>
      <c r="J20" s="42"/>
      <c r="K20" s="43"/>
      <c r="L20" s="44"/>
      <c r="M20" s="45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7"/>
    </row>
    <row r="21" spans="2:47" ht="17.25" thickBot="1">
      <c r="B21" s="41"/>
      <c r="C21" s="41"/>
      <c r="D21" s="41"/>
      <c r="E21" s="41"/>
      <c r="F21" s="41"/>
      <c r="G21" s="41"/>
      <c r="H21" s="41"/>
      <c r="I21" s="41"/>
      <c r="J21" s="42"/>
      <c r="K21" s="43"/>
      <c r="L21" s="44"/>
      <c r="M21" s="45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7"/>
    </row>
    <row r="22" spans="2:47" ht="17.25" thickBot="1">
      <c r="B22" s="41"/>
      <c r="C22" s="41"/>
      <c r="D22" s="41"/>
      <c r="E22" s="41"/>
      <c r="F22" s="41"/>
      <c r="G22" s="41"/>
      <c r="H22" s="41"/>
      <c r="I22" s="41"/>
      <c r="J22" s="42"/>
      <c r="K22" s="43"/>
      <c r="L22" s="44"/>
      <c r="M22" s="45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7"/>
    </row>
    <row r="23" spans="2:47" ht="17.25" thickBot="1">
      <c r="B23" s="41"/>
      <c r="C23" s="41"/>
      <c r="D23" s="41"/>
      <c r="E23" s="41"/>
      <c r="F23" s="41"/>
      <c r="G23" s="41"/>
      <c r="H23" s="41"/>
      <c r="I23" s="41"/>
      <c r="J23" s="42"/>
      <c r="K23" s="43"/>
      <c r="L23" s="44"/>
      <c r="M23" s="45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7"/>
    </row>
    <row r="24" spans="2:47" ht="17.25" thickBot="1">
      <c r="B24" s="41"/>
      <c r="C24" s="41"/>
      <c r="D24" s="41"/>
      <c r="E24" s="41"/>
      <c r="F24" s="41"/>
      <c r="G24" s="41"/>
      <c r="H24" s="41"/>
      <c r="I24" s="41"/>
      <c r="J24" s="42"/>
      <c r="K24" s="43"/>
      <c r="L24" s="44"/>
      <c r="M24" s="45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7"/>
    </row>
    <row r="25" spans="2:47" ht="17.25" thickBot="1">
      <c r="B25" s="41"/>
      <c r="C25" s="41"/>
      <c r="D25" s="41"/>
      <c r="E25" s="41"/>
      <c r="F25" s="41"/>
      <c r="G25" s="41"/>
      <c r="H25" s="41"/>
      <c r="I25" s="41"/>
      <c r="J25" s="42"/>
      <c r="K25" s="43"/>
      <c r="L25" s="44"/>
      <c r="M25" s="45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7"/>
    </row>
    <row r="26" spans="2:47" ht="17.25" thickBot="1">
      <c r="B26" s="41"/>
      <c r="C26" s="41"/>
      <c r="D26" s="41"/>
      <c r="E26" s="41"/>
      <c r="F26" s="41"/>
      <c r="G26" s="41"/>
      <c r="H26" s="41"/>
      <c r="I26" s="41"/>
      <c r="J26" s="42"/>
      <c r="K26" s="43"/>
      <c r="L26" s="44"/>
      <c r="M26" s="45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7"/>
    </row>
    <row r="27" spans="2:47" ht="17.25" thickBot="1">
      <c r="B27" s="41"/>
      <c r="C27" s="41"/>
      <c r="D27" s="41"/>
      <c r="E27" s="41"/>
      <c r="F27" s="41"/>
      <c r="G27" s="41"/>
      <c r="H27" s="41"/>
      <c r="I27" s="41"/>
      <c r="J27" s="42"/>
      <c r="K27" s="43"/>
      <c r="L27" s="44"/>
      <c r="M27" s="45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7"/>
    </row>
    <row r="28" spans="2:47" ht="17.25" thickBot="1">
      <c r="B28" s="41"/>
      <c r="C28" s="41"/>
      <c r="D28" s="41"/>
      <c r="E28" s="41"/>
      <c r="F28" s="41"/>
      <c r="G28" s="41"/>
      <c r="H28" s="41"/>
      <c r="I28" s="41"/>
      <c r="J28" s="42"/>
      <c r="K28" s="43"/>
      <c r="L28" s="44"/>
      <c r="M28" s="45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7"/>
    </row>
    <row r="29" spans="2:47" ht="17.25" thickBot="1">
      <c r="B29" s="41"/>
      <c r="C29" s="41"/>
      <c r="D29" s="41"/>
      <c r="E29" s="41"/>
      <c r="F29" s="41"/>
      <c r="G29" s="41"/>
      <c r="H29" s="41"/>
      <c r="I29" s="41"/>
      <c r="J29" s="42"/>
      <c r="K29" s="43"/>
      <c r="L29" s="44"/>
      <c r="M29" s="45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7"/>
    </row>
    <row r="30" spans="2:47" ht="17.25" thickBot="1">
      <c r="B30" s="41"/>
      <c r="C30" s="41"/>
      <c r="D30" s="41"/>
      <c r="E30" s="41"/>
      <c r="F30" s="41"/>
      <c r="G30" s="41"/>
      <c r="H30" s="41"/>
      <c r="I30" s="41"/>
      <c r="J30" s="42"/>
      <c r="K30" s="43"/>
      <c r="L30" s="44"/>
      <c r="M30" s="45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7"/>
    </row>
    <row r="31" spans="2:47" ht="17.25" thickBot="1">
      <c r="B31" s="41"/>
      <c r="C31" s="41"/>
      <c r="D31" s="41"/>
      <c r="E31" s="41"/>
      <c r="F31" s="41"/>
      <c r="G31" s="41"/>
      <c r="H31" s="41"/>
      <c r="I31" s="41"/>
      <c r="J31" s="42"/>
      <c r="K31" s="43"/>
      <c r="L31" s="44"/>
      <c r="M31" s="45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7"/>
    </row>
    <row r="32" spans="2:47" ht="17.25" thickBot="1">
      <c r="B32" s="41"/>
      <c r="C32" s="41"/>
      <c r="D32" s="41"/>
      <c r="E32" s="41"/>
      <c r="F32" s="41"/>
      <c r="G32" s="41"/>
      <c r="H32" s="41"/>
      <c r="I32" s="41"/>
      <c r="J32" s="42"/>
      <c r="K32" s="43"/>
      <c r="L32" s="44"/>
      <c r="M32" s="45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7"/>
    </row>
    <row r="33" spans="2:47" ht="17.25" thickBot="1">
      <c r="B33" s="41"/>
      <c r="C33" s="41"/>
      <c r="D33" s="41"/>
      <c r="E33" s="41"/>
      <c r="F33" s="41"/>
      <c r="G33" s="41"/>
      <c r="H33" s="41"/>
      <c r="I33" s="41"/>
      <c r="J33" s="42"/>
      <c r="K33" s="43"/>
      <c r="L33" s="44"/>
      <c r="M33" s="45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7"/>
    </row>
    <row r="34" spans="2:47" ht="17.25" thickBot="1">
      <c r="B34" s="41"/>
      <c r="C34" s="41"/>
      <c r="D34" s="41"/>
      <c r="E34" s="41"/>
      <c r="F34" s="41"/>
      <c r="G34" s="41"/>
      <c r="H34" s="41"/>
      <c r="I34" s="41"/>
      <c r="J34" s="42"/>
      <c r="K34" s="43"/>
      <c r="L34" s="44"/>
      <c r="M34" s="45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7"/>
    </row>
    <row r="35" spans="2:47" ht="17.25" thickBot="1">
      <c r="B35" s="41"/>
      <c r="C35" s="41"/>
      <c r="D35" s="41"/>
      <c r="E35" s="41"/>
      <c r="F35" s="41"/>
      <c r="G35" s="41"/>
      <c r="H35" s="41"/>
      <c r="I35" s="41"/>
      <c r="J35" s="42"/>
      <c r="K35" s="43"/>
      <c r="L35" s="44"/>
      <c r="M35" s="45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7"/>
    </row>
    <row r="36" spans="2:47" ht="17.25" thickBot="1">
      <c r="B36" s="41"/>
      <c r="C36" s="41"/>
      <c r="D36" s="41"/>
      <c r="E36" s="41"/>
      <c r="F36" s="41"/>
      <c r="G36" s="41"/>
      <c r="H36" s="41"/>
      <c r="I36" s="41"/>
      <c r="J36" s="42"/>
      <c r="K36" s="43"/>
      <c r="L36" s="44"/>
      <c r="M36" s="45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7"/>
    </row>
    <row r="37" spans="2:47" ht="17.25" thickBot="1">
      <c r="B37" s="41"/>
      <c r="C37" s="41"/>
      <c r="D37" s="41"/>
      <c r="E37" s="41"/>
      <c r="F37" s="41"/>
      <c r="G37" s="41"/>
      <c r="H37" s="41"/>
      <c r="I37" s="41"/>
      <c r="J37" s="42"/>
      <c r="K37" s="43"/>
      <c r="L37" s="44"/>
      <c r="M37" s="45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7"/>
    </row>
    <row r="38" spans="2:47" ht="17.25" thickBot="1">
      <c r="B38" s="41"/>
      <c r="C38" s="41"/>
      <c r="D38" s="41"/>
      <c r="E38" s="41"/>
      <c r="F38" s="41"/>
      <c r="G38" s="41"/>
      <c r="H38" s="41"/>
      <c r="I38" s="41"/>
      <c r="J38" s="42"/>
      <c r="K38" s="43"/>
      <c r="L38" s="44"/>
      <c r="M38" s="45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7"/>
    </row>
    <row r="39" spans="2:47" ht="17.25" thickBot="1">
      <c r="B39" s="41"/>
      <c r="C39" s="41"/>
      <c r="D39" s="41"/>
      <c r="E39" s="41"/>
      <c r="F39" s="41"/>
      <c r="G39" s="41"/>
      <c r="H39" s="41"/>
      <c r="I39" s="41"/>
      <c r="J39" s="42"/>
      <c r="K39" s="43"/>
      <c r="L39" s="44"/>
      <c r="M39" s="45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7"/>
    </row>
  </sheetData>
  <mergeCells count="149">
    <mergeCell ref="B2:AU2"/>
    <mergeCell ref="B3:E3"/>
    <mergeCell ref="F3:I3"/>
    <mergeCell ref="J3:L3"/>
    <mergeCell ref="M3:AU3"/>
    <mergeCell ref="B4:E4"/>
    <mergeCell ref="F4:I4"/>
    <mergeCell ref="J4:L4"/>
    <mergeCell ref="M4:AU4"/>
    <mergeCell ref="B7:E7"/>
    <mergeCell ref="F7:I7"/>
    <mergeCell ref="J7:L7"/>
    <mergeCell ref="M7:AU7"/>
    <mergeCell ref="B8:E8"/>
    <mergeCell ref="F8:I8"/>
    <mergeCell ref="J8:L8"/>
    <mergeCell ref="M8:AU8"/>
    <mergeCell ref="B5:E5"/>
    <mergeCell ref="F5:I5"/>
    <mergeCell ref="J5:L5"/>
    <mergeCell ref="M5:AU5"/>
    <mergeCell ref="B6:E6"/>
    <mergeCell ref="F6:I6"/>
    <mergeCell ref="J6:L6"/>
    <mergeCell ref="M6:AU6"/>
    <mergeCell ref="B11:E11"/>
    <mergeCell ref="F11:I11"/>
    <mergeCell ref="J11:L11"/>
    <mergeCell ref="M11:AU11"/>
    <mergeCell ref="B12:E12"/>
    <mergeCell ref="F12:I12"/>
    <mergeCell ref="J12:L12"/>
    <mergeCell ref="M12:AU12"/>
    <mergeCell ref="B9:E9"/>
    <mergeCell ref="F9:I9"/>
    <mergeCell ref="J9:L9"/>
    <mergeCell ref="M9:AU9"/>
    <mergeCell ref="B10:E10"/>
    <mergeCell ref="F10:I10"/>
    <mergeCell ref="J10:L10"/>
    <mergeCell ref="M10:AU10"/>
    <mergeCell ref="B15:E15"/>
    <mergeCell ref="F15:I15"/>
    <mergeCell ref="J15:L15"/>
    <mergeCell ref="M15:AU15"/>
    <mergeCell ref="B16:E16"/>
    <mergeCell ref="F16:I16"/>
    <mergeCell ref="J16:L16"/>
    <mergeCell ref="M16:AU16"/>
    <mergeCell ref="B13:E13"/>
    <mergeCell ref="F13:I13"/>
    <mergeCell ref="J13:L13"/>
    <mergeCell ref="M13:AU13"/>
    <mergeCell ref="B14:E14"/>
    <mergeCell ref="F14:I14"/>
    <mergeCell ref="J14:L14"/>
    <mergeCell ref="M14:AU14"/>
    <mergeCell ref="B19:E19"/>
    <mergeCell ref="F19:I19"/>
    <mergeCell ref="J19:L19"/>
    <mergeCell ref="M19:AU19"/>
    <mergeCell ref="B20:E20"/>
    <mergeCell ref="F20:I20"/>
    <mergeCell ref="J20:L20"/>
    <mergeCell ref="M20:AU20"/>
    <mergeCell ref="B17:E17"/>
    <mergeCell ref="F17:I17"/>
    <mergeCell ref="J17:L17"/>
    <mergeCell ref="M17:AU17"/>
    <mergeCell ref="B18:E18"/>
    <mergeCell ref="F18:I18"/>
    <mergeCell ref="J18:L18"/>
    <mergeCell ref="M18:AU18"/>
    <mergeCell ref="B23:E23"/>
    <mergeCell ref="F23:I23"/>
    <mergeCell ref="J23:L23"/>
    <mergeCell ref="M23:AU23"/>
    <mergeCell ref="B24:E24"/>
    <mergeCell ref="F24:I24"/>
    <mergeCell ref="J24:L24"/>
    <mergeCell ref="M24:AU24"/>
    <mergeCell ref="B21:E21"/>
    <mergeCell ref="F21:I21"/>
    <mergeCell ref="J21:L21"/>
    <mergeCell ref="M21:AU21"/>
    <mergeCell ref="B22:E22"/>
    <mergeCell ref="F22:I22"/>
    <mergeCell ref="J22:L22"/>
    <mergeCell ref="M22:AU22"/>
    <mergeCell ref="B27:E27"/>
    <mergeCell ref="F27:I27"/>
    <mergeCell ref="J27:L27"/>
    <mergeCell ref="M27:AU27"/>
    <mergeCell ref="B28:E28"/>
    <mergeCell ref="F28:I28"/>
    <mergeCell ref="J28:L28"/>
    <mergeCell ref="M28:AU28"/>
    <mergeCell ref="B25:E25"/>
    <mergeCell ref="F25:I25"/>
    <mergeCell ref="J25:L25"/>
    <mergeCell ref="M25:AU25"/>
    <mergeCell ref="B26:E26"/>
    <mergeCell ref="F26:I26"/>
    <mergeCell ref="J26:L26"/>
    <mergeCell ref="M26:AU26"/>
    <mergeCell ref="B31:E31"/>
    <mergeCell ref="F31:I31"/>
    <mergeCell ref="J31:L31"/>
    <mergeCell ref="M31:AU31"/>
    <mergeCell ref="B32:E32"/>
    <mergeCell ref="F32:I32"/>
    <mergeCell ref="J32:L32"/>
    <mergeCell ref="M32:AU32"/>
    <mergeCell ref="B29:E29"/>
    <mergeCell ref="F29:I29"/>
    <mergeCell ref="J29:L29"/>
    <mergeCell ref="M29:AU29"/>
    <mergeCell ref="B30:E30"/>
    <mergeCell ref="F30:I30"/>
    <mergeCell ref="J30:L30"/>
    <mergeCell ref="M30:AU30"/>
    <mergeCell ref="B35:E35"/>
    <mergeCell ref="F35:I35"/>
    <mergeCell ref="J35:L35"/>
    <mergeCell ref="M35:AU35"/>
    <mergeCell ref="B36:E36"/>
    <mergeCell ref="F36:I36"/>
    <mergeCell ref="J36:L36"/>
    <mergeCell ref="M36:AU36"/>
    <mergeCell ref="B33:E33"/>
    <mergeCell ref="F33:I33"/>
    <mergeCell ref="J33:L33"/>
    <mergeCell ref="M33:AU33"/>
    <mergeCell ref="B34:E34"/>
    <mergeCell ref="F34:I34"/>
    <mergeCell ref="J34:L34"/>
    <mergeCell ref="M34:AU34"/>
    <mergeCell ref="B39:E39"/>
    <mergeCell ref="F39:I39"/>
    <mergeCell ref="J39:L39"/>
    <mergeCell ref="M39:AU39"/>
    <mergeCell ref="B37:E37"/>
    <mergeCell ref="F37:I37"/>
    <mergeCell ref="J37:L37"/>
    <mergeCell ref="M37:AU37"/>
    <mergeCell ref="B38:E38"/>
    <mergeCell ref="F38:I38"/>
    <mergeCell ref="J38:L38"/>
    <mergeCell ref="M38:AU38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3"/>
  <sheetViews>
    <sheetView view="pageBreakPreview" zoomScale="115" zoomScaleNormal="100" zoomScaleSheetLayoutView="115" workbookViewId="0">
      <selection activeCell="D11" sqref="D11"/>
    </sheetView>
  </sheetViews>
  <sheetFormatPr defaultColWidth="9" defaultRowHeight="16.5"/>
  <cols>
    <col min="1" max="1" width="6.125" style="1" customWidth="1"/>
    <col min="2" max="2" width="8.625" style="1" bestFit="1" customWidth="1"/>
    <col min="3" max="3" width="19.375" style="1" bestFit="1" customWidth="1"/>
    <col min="4" max="4" width="29.625" style="1" bestFit="1" customWidth="1"/>
    <col min="5" max="5" width="18" style="1" customWidth="1"/>
    <col min="6" max="6" width="27" style="1" customWidth="1"/>
    <col min="7" max="9" width="18" style="1" customWidth="1"/>
    <col min="10" max="16384" width="9" style="1"/>
  </cols>
  <sheetData>
    <row r="1" spans="1:9" s="2" customFormat="1" ht="31.5">
      <c r="A1" s="61" t="s">
        <v>13</v>
      </c>
      <c r="B1" s="61"/>
      <c r="C1" s="61"/>
      <c r="D1" s="61"/>
      <c r="E1" s="61"/>
      <c r="F1" s="61"/>
      <c r="G1" s="61"/>
      <c r="H1" s="61"/>
      <c r="I1" s="61"/>
    </row>
    <row r="2" spans="1:9" s="2" customFormat="1">
      <c r="A2" s="62" t="s">
        <v>21</v>
      </c>
      <c r="B2" s="63"/>
      <c r="C2" s="9"/>
      <c r="D2" s="9"/>
      <c r="E2" s="64" t="s">
        <v>22</v>
      </c>
      <c r="F2" s="64"/>
      <c r="G2" s="64"/>
      <c r="H2" s="64"/>
      <c r="I2" s="64"/>
    </row>
    <row r="3" spans="1:9" s="2" customFormat="1">
      <c r="A3" s="62" t="s">
        <v>20</v>
      </c>
      <c r="B3" s="63"/>
      <c r="C3" s="9"/>
      <c r="D3" s="9"/>
      <c r="E3" s="65"/>
      <c r="F3" s="65"/>
      <c r="G3" s="65"/>
      <c r="H3" s="65"/>
      <c r="I3" s="65"/>
    </row>
    <row r="4" spans="1:9" s="2" customFormat="1">
      <c r="A4" s="62" t="s">
        <v>19</v>
      </c>
      <c r="B4" s="63"/>
      <c r="C4" s="9"/>
      <c r="D4" s="9"/>
      <c r="E4" s="65"/>
      <c r="F4" s="65"/>
      <c r="G4" s="65"/>
      <c r="H4" s="65"/>
      <c r="I4" s="65"/>
    </row>
    <row r="5" spans="1:9" ht="33">
      <c r="A5" s="10" t="s">
        <v>8</v>
      </c>
      <c r="B5" s="10" t="s">
        <v>9</v>
      </c>
      <c r="C5" s="5" t="s">
        <v>0</v>
      </c>
      <c r="D5" s="5" t="s">
        <v>23</v>
      </c>
      <c r="E5" s="18" t="s">
        <v>37</v>
      </c>
      <c r="F5" s="5" t="s">
        <v>28</v>
      </c>
      <c r="G5" s="5" t="s">
        <v>10</v>
      </c>
      <c r="H5" s="5" t="s">
        <v>3</v>
      </c>
      <c r="I5" s="5" t="s">
        <v>11</v>
      </c>
    </row>
    <row r="6" spans="1:9">
      <c r="A6" s="4">
        <v>1</v>
      </c>
      <c r="B6" s="11" t="s">
        <v>49</v>
      </c>
      <c r="C6" s="11" t="s">
        <v>50</v>
      </c>
      <c r="D6" s="11" t="s">
        <v>51</v>
      </c>
      <c r="E6" s="4"/>
      <c r="F6" s="30"/>
      <c r="G6" s="30" t="str">
        <f>IFERROR(SUBSTITUTE(F6,"W","")/SUBSTITUTE(E6,"W","")*100, "")</f>
        <v/>
      </c>
      <c r="H6" s="4" t="s">
        <v>7</v>
      </c>
      <c r="I6" s="4" t="str">
        <f>IFERROR(IF(G6 &lt;= VALUE(SUBSTITUTE(SUBSTITUTE(H6,"≤ ",""),"%","")), "Pass", "Fail"), "")</f>
        <v>Fail</v>
      </c>
    </row>
    <row r="7" spans="1:9">
      <c r="A7" s="4"/>
      <c r="B7" s="11"/>
      <c r="C7" s="11"/>
      <c r="D7" s="11"/>
      <c r="E7" s="4"/>
      <c r="F7" s="30"/>
      <c r="G7" s="30"/>
      <c r="H7" s="4"/>
      <c r="I7" s="4"/>
    </row>
    <row r="8" spans="1:9">
      <c r="A8" s="4"/>
      <c r="B8" s="11"/>
      <c r="C8" s="11"/>
      <c r="D8" s="11"/>
      <c r="E8" s="4"/>
      <c r="F8" s="30"/>
      <c r="G8" s="30" t="str">
        <f>IFERROR(SUBSTITUTE(F8,"W","")/SUBSTITUTE(E8,"W","")*100, "")</f>
        <v/>
      </c>
      <c r="H8" s="4"/>
      <c r="I8" s="4"/>
    </row>
    <row r="9" spans="1:9">
      <c r="A9" s="4"/>
      <c r="B9" s="11"/>
      <c r="C9" s="11"/>
      <c r="D9" s="11"/>
      <c r="E9" s="4"/>
      <c r="F9" s="30"/>
      <c r="G9" s="30" t="str">
        <f>IFERROR(SUBSTITUTE(F9,"W","")/SUBSTITUTE(E9,"W","")*100, "")</f>
        <v/>
      </c>
      <c r="H9" s="4"/>
      <c r="I9" s="4"/>
    </row>
    <row r="10" spans="1:9">
      <c r="A10" s="4"/>
      <c r="B10" s="11"/>
      <c r="C10" s="11"/>
      <c r="D10" s="11"/>
      <c r="E10" s="4"/>
      <c r="F10" s="30"/>
      <c r="G10" s="30" t="str">
        <f>IFERROR(SUBSTITUTE(F10,"W","")/SUBSTITUTE(E10,"W","")*100, "")</f>
        <v/>
      </c>
      <c r="H10" s="4"/>
      <c r="I10" s="4"/>
    </row>
    <row r="11" spans="1:9">
      <c r="A11" s="4"/>
      <c r="B11" s="11"/>
      <c r="C11" s="11"/>
      <c r="D11" s="11"/>
      <c r="E11" s="4"/>
      <c r="F11" s="30"/>
      <c r="G11" s="30" t="str">
        <f t="shared" ref="G11:G74" si="0">IFERROR(SUBSTITUTE(F11,"W","")/SUBSTITUTE(E11,"W","")*100, "")</f>
        <v/>
      </c>
      <c r="H11" s="4"/>
      <c r="I11" s="4"/>
    </row>
    <row r="12" spans="1:9">
      <c r="A12" s="4"/>
      <c r="B12" s="11"/>
      <c r="C12" s="11"/>
      <c r="D12" s="11"/>
      <c r="E12" s="4"/>
      <c r="F12" s="30"/>
      <c r="G12" s="30" t="str">
        <f t="shared" si="0"/>
        <v/>
      </c>
      <c r="H12" s="4"/>
      <c r="I12" s="4"/>
    </row>
    <row r="13" spans="1:9">
      <c r="A13" s="4"/>
      <c r="B13" s="11"/>
      <c r="C13" s="11"/>
      <c r="D13" s="11"/>
      <c r="E13" s="4"/>
      <c r="F13" s="30"/>
      <c r="G13" s="30" t="str">
        <f t="shared" si="0"/>
        <v/>
      </c>
      <c r="H13" s="4"/>
      <c r="I13" s="4"/>
    </row>
    <row r="14" spans="1:9">
      <c r="A14" s="4"/>
      <c r="B14" s="11"/>
      <c r="C14" s="11"/>
      <c r="D14" s="11"/>
      <c r="E14" s="4"/>
      <c r="F14" s="30"/>
      <c r="G14" s="30" t="str">
        <f t="shared" si="0"/>
        <v/>
      </c>
      <c r="H14" s="4"/>
      <c r="I14" s="4"/>
    </row>
    <row r="15" spans="1:9">
      <c r="A15" s="4"/>
      <c r="B15" s="11"/>
      <c r="C15" s="11"/>
      <c r="D15" s="11"/>
      <c r="E15" s="4"/>
      <c r="F15" s="30"/>
      <c r="G15" s="30" t="str">
        <f t="shared" si="0"/>
        <v/>
      </c>
      <c r="H15" s="4"/>
      <c r="I15" s="4"/>
    </row>
    <row r="16" spans="1:9">
      <c r="A16" s="4"/>
      <c r="B16" s="14"/>
      <c r="C16" s="19"/>
      <c r="D16" s="11"/>
      <c r="E16" s="4"/>
      <c r="F16" s="30"/>
      <c r="G16" s="30" t="str">
        <f t="shared" si="0"/>
        <v/>
      </c>
      <c r="H16" s="4"/>
      <c r="I16" s="4"/>
    </row>
    <row r="17" spans="1:9">
      <c r="A17" s="4"/>
      <c r="B17" s="11"/>
      <c r="C17" s="11"/>
      <c r="D17" s="11"/>
      <c r="E17" s="4"/>
      <c r="F17" s="30"/>
      <c r="G17" s="30" t="str">
        <f t="shared" si="0"/>
        <v/>
      </c>
      <c r="H17" s="4"/>
      <c r="I17" s="4"/>
    </row>
    <row r="18" spans="1:9">
      <c r="A18" s="4"/>
      <c r="B18" s="14"/>
      <c r="C18" s="11"/>
      <c r="D18" s="11"/>
      <c r="E18" s="4"/>
      <c r="F18" s="30"/>
      <c r="G18" s="30" t="str">
        <f t="shared" si="0"/>
        <v/>
      </c>
      <c r="H18" s="4"/>
      <c r="I18" s="4"/>
    </row>
    <row r="19" spans="1:9">
      <c r="A19" s="4"/>
      <c r="B19" s="14"/>
      <c r="C19" s="11"/>
      <c r="D19" s="11"/>
      <c r="E19" s="4"/>
      <c r="F19" s="30"/>
      <c r="G19" s="30" t="str">
        <f t="shared" si="0"/>
        <v/>
      </c>
      <c r="H19" s="4"/>
      <c r="I19" s="4"/>
    </row>
    <row r="20" spans="1:9">
      <c r="A20" s="4"/>
      <c r="B20" s="14"/>
      <c r="C20" s="11"/>
      <c r="D20" s="11"/>
      <c r="E20" s="4"/>
      <c r="F20" s="30"/>
      <c r="G20" s="30" t="str">
        <f t="shared" si="0"/>
        <v/>
      </c>
      <c r="H20" s="4"/>
      <c r="I20" s="4"/>
    </row>
    <row r="21" spans="1:9">
      <c r="A21" s="4"/>
      <c r="B21" s="11"/>
      <c r="C21" s="11"/>
      <c r="D21" s="11"/>
      <c r="E21" s="4"/>
      <c r="F21" s="30"/>
      <c r="G21" s="30" t="str">
        <f t="shared" si="0"/>
        <v/>
      </c>
      <c r="H21" s="4"/>
      <c r="I21" s="4"/>
    </row>
    <row r="22" spans="1:9">
      <c r="A22" s="4"/>
      <c r="B22" s="11"/>
      <c r="C22" s="11"/>
      <c r="D22" s="11"/>
      <c r="E22" s="4"/>
      <c r="F22" s="30"/>
      <c r="G22" s="30" t="str">
        <f t="shared" si="0"/>
        <v/>
      </c>
      <c r="H22" s="4"/>
      <c r="I22" s="4"/>
    </row>
    <row r="23" spans="1:9">
      <c r="A23" s="4"/>
      <c r="B23" s="11"/>
      <c r="C23" s="11"/>
      <c r="D23" s="11"/>
      <c r="E23" s="4"/>
      <c r="F23" s="30"/>
      <c r="G23" s="30" t="str">
        <f t="shared" si="0"/>
        <v/>
      </c>
      <c r="H23" s="4"/>
      <c r="I23" s="4"/>
    </row>
    <row r="24" spans="1:9">
      <c r="A24" s="4"/>
      <c r="B24" s="11"/>
      <c r="C24" s="11"/>
      <c r="D24" s="11"/>
      <c r="E24" s="4"/>
      <c r="F24" s="30"/>
      <c r="G24" s="30" t="str">
        <f t="shared" si="0"/>
        <v/>
      </c>
      <c r="H24" s="4"/>
      <c r="I24" s="4"/>
    </row>
    <row r="25" spans="1:9">
      <c r="A25" s="4"/>
      <c r="B25" s="11"/>
      <c r="C25" s="11"/>
      <c r="D25" s="11"/>
      <c r="E25" s="4"/>
      <c r="F25" s="30"/>
      <c r="G25" s="30" t="str">
        <f t="shared" si="0"/>
        <v/>
      </c>
      <c r="H25" s="4"/>
      <c r="I25" s="4"/>
    </row>
    <row r="26" spans="1:9">
      <c r="A26" s="22"/>
      <c r="B26" s="27"/>
      <c r="C26" s="25"/>
      <c r="D26" s="25"/>
      <c r="E26" s="22"/>
      <c r="F26" s="32"/>
      <c r="G26" s="30" t="str">
        <f t="shared" si="0"/>
        <v/>
      </c>
      <c r="H26" s="4"/>
      <c r="I26" s="4"/>
    </row>
    <row r="27" spans="1:9">
      <c r="A27" s="22"/>
      <c r="B27" s="27"/>
      <c r="C27" s="25"/>
      <c r="D27" s="25"/>
      <c r="E27" s="22"/>
      <c r="F27" s="32"/>
      <c r="G27" s="30" t="str">
        <f t="shared" si="0"/>
        <v/>
      </c>
      <c r="H27" s="4"/>
      <c r="I27" s="4"/>
    </row>
    <row r="28" spans="1:9">
      <c r="A28" s="22"/>
      <c r="B28" s="25"/>
      <c r="C28" s="25"/>
      <c r="D28" s="25"/>
      <c r="E28" s="22"/>
      <c r="F28" s="32"/>
      <c r="G28" s="30" t="str">
        <f t="shared" si="0"/>
        <v/>
      </c>
      <c r="H28" s="4"/>
      <c r="I28" s="4"/>
    </row>
    <row r="29" spans="1:9">
      <c r="A29" s="4"/>
      <c r="B29" s="11"/>
      <c r="C29" s="11"/>
      <c r="D29" s="11"/>
      <c r="E29" s="4"/>
      <c r="F29" s="30"/>
      <c r="G29" s="30" t="str">
        <f t="shared" si="0"/>
        <v/>
      </c>
      <c r="H29" s="4"/>
      <c r="I29" s="4"/>
    </row>
    <row r="30" spans="1:9">
      <c r="A30" s="4"/>
      <c r="B30" s="11"/>
      <c r="C30" s="11"/>
      <c r="D30" s="11"/>
      <c r="E30" s="4"/>
      <c r="F30" s="30"/>
      <c r="G30" s="30" t="str">
        <f t="shared" si="0"/>
        <v/>
      </c>
      <c r="H30" s="4"/>
      <c r="I30" s="4"/>
    </row>
    <row r="31" spans="1:9">
      <c r="A31" s="4"/>
      <c r="B31" s="11"/>
      <c r="C31" s="11"/>
      <c r="D31" s="11"/>
      <c r="E31" s="4"/>
      <c r="F31" s="30"/>
      <c r="G31" s="30" t="str">
        <f t="shared" si="0"/>
        <v/>
      </c>
      <c r="H31" s="4"/>
      <c r="I31" s="4"/>
    </row>
    <row r="32" spans="1:9">
      <c r="A32" s="4"/>
      <c r="B32" s="11"/>
      <c r="C32" s="11"/>
      <c r="D32" s="11"/>
      <c r="E32" s="4"/>
      <c r="F32" s="30"/>
      <c r="G32" s="30" t="str">
        <f t="shared" si="0"/>
        <v/>
      </c>
      <c r="H32" s="4"/>
      <c r="I32" s="4"/>
    </row>
    <row r="33" spans="1:9">
      <c r="A33" s="4"/>
      <c r="B33" s="11"/>
      <c r="C33" s="11"/>
      <c r="D33" s="11"/>
      <c r="E33" s="4"/>
      <c r="F33" s="30"/>
      <c r="G33" s="30" t="str">
        <f t="shared" si="0"/>
        <v/>
      </c>
      <c r="H33" s="4"/>
      <c r="I33" s="4"/>
    </row>
    <row r="34" spans="1:9">
      <c r="A34" s="4"/>
      <c r="B34" s="14"/>
      <c r="C34" s="11"/>
      <c r="D34" s="11"/>
      <c r="E34" s="4"/>
      <c r="F34" s="30"/>
      <c r="G34" s="30" t="str">
        <f t="shared" si="0"/>
        <v/>
      </c>
      <c r="H34" s="4"/>
      <c r="I34" s="4"/>
    </row>
    <row r="35" spans="1:9">
      <c r="A35" s="4"/>
      <c r="B35" s="11"/>
      <c r="C35" s="11"/>
      <c r="D35" s="11"/>
      <c r="E35" s="4"/>
      <c r="F35" s="30"/>
      <c r="G35" s="30" t="str">
        <f t="shared" si="0"/>
        <v/>
      </c>
      <c r="H35" s="4"/>
      <c r="I35" s="4"/>
    </row>
    <row r="36" spans="1:9">
      <c r="A36" s="4"/>
      <c r="B36" s="11"/>
      <c r="C36" s="11"/>
      <c r="D36" s="11"/>
      <c r="E36" s="4"/>
      <c r="F36" s="30"/>
      <c r="G36" s="30" t="str">
        <f t="shared" si="0"/>
        <v/>
      </c>
      <c r="H36" s="4"/>
      <c r="I36" s="4"/>
    </row>
    <row r="37" spans="1:9">
      <c r="A37" s="4"/>
      <c r="B37" s="11"/>
      <c r="C37" s="11"/>
      <c r="D37" s="11"/>
      <c r="E37" s="4"/>
      <c r="F37" s="30"/>
      <c r="G37" s="30" t="str">
        <f t="shared" si="0"/>
        <v/>
      </c>
      <c r="H37" s="4"/>
      <c r="I37" s="4"/>
    </row>
    <row r="38" spans="1:9">
      <c r="A38" s="4"/>
      <c r="B38" s="11"/>
      <c r="C38" s="11"/>
      <c r="D38" s="11"/>
      <c r="E38" s="4"/>
      <c r="F38" s="30"/>
      <c r="G38" s="30" t="str">
        <f t="shared" si="0"/>
        <v/>
      </c>
      <c r="H38" s="4"/>
      <c r="I38" s="4"/>
    </row>
    <row r="39" spans="1:9">
      <c r="A39" s="4"/>
      <c r="B39" s="11"/>
      <c r="C39" s="11"/>
      <c r="D39" s="11"/>
      <c r="E39" s="4"/>
      <c r="F39" s="30"/>
      <c r="G39" s="30" t="str">
        <f t="shared" si="0"/>
        <v/>
      </c>
      <c r="H39" s="4"/>
      <c r="I39" s="4"/>
    </row>
    <row r="40" spans="1:9">
      <c r="A40" s="4"/>
      <c r="B40" s="14"/>
      <c r="C40" s="11"/>
      <c r="D40" s="11"/>
      <c r="E40" s="4"/>
      <c r="F40" s="30"/>
      <c r="G40" s="30" t="str">
        <f t="shared" si="0"/>
        <v/>
      </c>
      <c r="H40" s="4"/>
      <c r="I40" s="4"/>
    </row>
    <row r="41" spans="1:9">
      <c r="A41" s="4"/>
      <c r="B41" s="11"/>
      <c r="C41" s="11"/>
      <c r="D41" s="11"/>
      <c r="E41" s="4"/>
      <c r="F41" s="30"/>
      <c r="G41" s="30" t="str">
        <f t="shared" si="0"/>
        <v/>
      </c>
      <c r="H41" s="4"/>
      <c r="I41" s="4"/>
    </row>
    <row r="42" spans="1:9">
      <c r="A42" s="4"/>
      <c r="B42" s="11"/>
      <c r="C42" s="11"/>
      <c r="D42" s="11"/>
      <c r="E42" s="4"/>
      <c r="F42" s="30"/>
      <c r="G42" s="30" t="str">
        <f t="shared" si="0"/>
        <v/>
      </c>
      <c r="H42" s="4"/>
      <c r="I42" s="4"/>
    </row>
    <row r="43" spans="1:9">
      <c r="A43" s="4"/>
      <c r="B43" s="14"/>
      <c r="C43" s="11"/>
      <c r="D43" s="11"/>
      <c r="E43" s="4"/>
      <c r="F43" s="30"/>
      <c r="G43" s="30" t="str">
        <f t="shared" si="0"/>
        <v/>
      </c>
      <c r="H43" s="4"/>
      <c r="I43" s="4"/>
    </row>
    <row r="44" spans="1:9">
      <c r="A44" s="4"/>
      <c r="B44" s="14"/>
      <c r="C44" s="11"/>
      <c r="D44" s="11"/>
      <c r="E44" s="4"/>
      <c r="F44" s="30"/>
      <c r="G44" s="30" t="str">
        <f t="shared" si="0"/>
        <v/>
      </c>
      <c r="H44" s="4"/>
      <c r="I44" s="4"/>
    </row>
    <row r="45" spans="1:9">
      <c r="A45" s="4"/>
      <c r="B45" s="11"/>
      <c r="C45" s="11"/>
      <c r="D45" s="11"/>
      <c r="E45" s="4"/>
      <c r="F45" s="30"/>
      <c r="G45" s="30" t="str">
        <f t="shared" si="0"/>
        <v/>
      </c>
      <c r="H45" s="4"/>
      <c r="I45" s="4"/>
    </row>
    <row r="46" spans="1:9">
      <c r="A46" s="4"/>
      <c r="B46" s="14"/>
      <c r="C46" s="11"/>
      <c r="D46" s="11"/>
      <c r="E46" s="4"/>
      <c r="F46" s="30"/>
      <c r="G46" s="30" t="str">
        <f t="shared" si="0"/>
        <v/>
      </c>
      <c r="H46" s="4"/>
      <c r="I46" s="4"/>
    </row>
    <row r="47" spans="1:9">
      <c r="A47" s="4"/>
      <c r="B47" s="11"/>
      <c r="C47" s="11"/>
      <c r="D47" s="11"/>
      <c r="E47" s="4"/>
      <c r="F47" s="30"/>
      <c r="G47" s="30" t="str">
        <f t="shared" si="0"/>
        <v/>
      </c>
      <c r="H47" s="4"/>
      <c r="I47" s="4"/>
    </row>
    <row r="48" spans="1:9">
      <c r="A48" s="4"/>
      <c r="B48" s="11"/>
      <c r="C48" s="11"/>
      <c r="D48" s="11"/>
      <c r="E48" s="4"/>
      <c r="F48" s="30"/>
      <c r="G48" s="30" t="str">
        <f t="shared" si="0"/>
        <v/>
      </c>
      <c r="H48" s="4"/>
      <c r="I48" s="4"/>
    </row>
    <row r="49" spans="1:9">
      <c r="A49" s="4"/>
      <c r="B49" s="11"/>
      <c r="C49" s="11"/>
      <c r="D49" s="11"/>
      <c r="E49" s="4"/>
      <c r="F49" s="30"/>
      <c r="G49" s="30" t="str">
        <f t="shared" si="0"/>
        <v/>
      </c>
      <c r="H49" s="4"/>
      <c r="I49" s="4"/>
    </row>
    <row r="50" spans="1:9">
      <c r="A50" s="4"/>
      <c r="B50" s="11"/>
      <c r="C50" s="11"/>
      <c r="D50" s="11"/>
      <c r="E50" s="4"/>
      <c r="F50" s="30"/>
      <c r="G50" s="30" t="str">
        <f t="shared" si="0"/>
        <v/>
      </c>
      <c r="H50" s="4"/>
      <c r="I50" s="4"/>
    </row>
    <row r="51" spans="1:9">
      <c r="A51" s="4"/>
      <c r="B51" s="14"/>
      <c r="C51" s="11"/>
      <c r="D51" s="11"/>
      <c r="E51" s="4"/>
      <c r="F51" s="30"/>
      <c r="G51" s="30" t="str">
        <f t="shared" si="0"/>
        <v/>
      </c>
      <c r="H51" s="4"/>
      <c r="I51" s="4"/>
    </row>
    <row r="52" spans="1:9">
      <c r="A52" s="4"/>
      <c r="B52" s="11"/>
      <c r="C52" s="11"/>
      <c r="D52" s="11"/>
      <c r="E52" s="4"/>
      <c r="F52" s="30"/>
      <c r="G52" s="30" t="str">
        <f t="shared" si="0"/>
        <v/>
      </c>
      <c r="H52" s="4"/>
      <c r="I52" s="4"/>
    </row>
    <row r="53" spans="1:9">
      <c r="A53" s="4"/>
      <c r="B53" s="11"/>
      <c r="C53" s="11"/>
      <c r="D53" s="11"/>
      <c r="E53" s="4"/>
      <c r="F53" s="30"/>
      <c r="G53" s="30" t="str">
        <f t="shared" si="0"/>
        <v/>
      </c>
      <c r="H53" s="4"/>
      <c r="I53" s="4"/>
    </row>
    <row r="54" spans="1:9">
      <c r="A54" s="4"/>
      <c r="B54" s="11"/>
      <c r="C54" s="11"/>
      <c r="D54" s="11"/>
      <c r="E54" s="4"/>
      <c r="F54" s="30"/>
      <c r="G54" s="30" t="str">
        <f t="shared" si="0"/>
        <v/>
      </c>
      <c r="H54" s="4"/>
      <c r="I54" s="4"/>
    </row>
    <row r="55" spans="1:9">
      <c r="A55" s="4"/>
      <c r="B55" s="11"/>
      <c r="C55" s="11"/>
      <c r="D55" s="11"/>
      <c r="E55" s="4"/>
      <c r="F55" s="30"/>
      <c r="G55" s="30" t="str">
        <f t="shared" si="0"/>
        <v/>
      </c>
      <c r="H55" s="4"/>
      <c r="I55" s="4"/>
    </row>
    <row r="56" spans="1:9">
      <c r="A56" s="4"/>
      <c r="B56" s="11"/>
      <c r="C56" s="11"/>
      <c r="D56" s="11"/>
      <c r="E56" s="4"/>
      <c r="F56" s="30"/>
      <c r="G56" s="30" t="str">
        <f t="shared" si="0"/>
        <v/>
      </c>
      <c r="H56" s="4"/>
      <c r="I56" s="4"/>
    </row>
    <row r="57" spans="1:9">
      <c r="A57" s="4"/>
      <c r="B57" s="11"/>
      <c r="C57" s="11"/>
      <c r="D57" s="11"/>
      <c r="E57" s="4"/>
      <c r="F57" s="30"/>
      <c r="G57" s="30" t="str">
        <f t="shared" si="0"/>
        <v/>
      </c>
      <c r="H57" s="4"/>
      <c r="I57" s="4"/>
    </row>
    <row r="58" spans="1:9">
      <c r="A58" s="4"/>
      <c r="B58" s="11"/>
      <c r="C58" s="11"/>
      <c r="D58" s="11"/>
      <c r="E58" s="4"/>
      <c r="F58" s="30"/>
      <c r="G58" s="30" t="str">
        <f t="shared" si="0"/>
        <v/>
      </c>
      <c r="H58" s="4"/>
      <c r="I58" s="4"/>
    </row>
    <row r="59" spans="1:9">
      <c r="A59" s="4"/>
      <c r="B59" s="11"/>
      <c r="C59" s="11"/>
      <c r="D59" s="11"/>
      <c r="E59" s="4"/>
      <c r="F59" s="30"/>
      <c r="G59" s="30" t="str">
        <f t="shared" si="0"/>
        <v/>
      </c>
      <c r="H59" s="4"/>
      <c r="I59" s="4"/>
    </row>
    <row r="60" spans="1:9">
      <c r="A60" s="4"/>
      <c r="B60" s="11"/>
      <c r="C60" s="11"/>
      <c r="D60" s="11"/>
      <c r="E60" s="4"/>
      <c r="F60" s="30"/>
      <c r="G60" s="30" t="str">
        <f t="shared" si="0"/>
        <v/>
      </c>
      <c r="H60" s="4"/>
      <c r="I60" s="4"/>
    </row>
    <row r="61" spans="1:9">
      <c r="A61" s="4"/>
      <c r="B61" s="11"/>
      <c r="C61" s="11"/>
      <c r="D61" s="11"/>
      <c r="E61" s="4"/>
      <c r="F61" s="30"/>
      <c r="G61" s="30" t="str">
        <f t="shared" si="0"/>
        <v/>
      </c>
      <c r="H61" s="4"/>
      <c r="I61" s="4"/>
    </row>
    <row r="62" spans="1:9">
      <c r="A62" s="4"/>
      <c r="B62" s="11"/>
      <c r="C62" s="11"/>
      <c r="D62" s="11"/>
      <c r="E62" s="4"/>
      <c r="F62" s="30"/>
      <c r="G62" s="30" t="str">
        <f t="shared" si="0"/>
        <v/>
      </c>
      <c r="H62" s="4"/>
      <c r="I62" s="4"/>
    </row>
    <row r="63" spans="1:9">
      <c r="A63" s="4"/>
      <c r="B63" s="11"/>
      <c r="C63" s="11"/>
      <c r="D63" s="11"/>
      <c r="E63" s="4"/>
      <c r="F63" s="30"/>
      <c r="G63" s="30" t="str">
        <f t="shared" si="0"/>
        <v/>
      </c>
      <c r="H63" s="4"/>
      <c r="I63" s="4"/>
    </row>
    <row r="64" spans="1:9">
      <c r="A64" s="4"/>
      <c r="B64" s="14"/>
      <c r="C64" s="11"/>
      <c r="D64" s="11"/>
      <c r="E64" s="4"/>
      <c r="F64" s="30"/>
      <c r="G64" s="30" t="str">
        <f t="shared" si="0"/>
        <v/>
      </c>
      <c r="H64" s="4"/>
      <c r="I64" s="4"/>
    </row>
    <row r="65" spans="1:9">
      <c r="A65" s="4"/>
      <c r="B65" s="11"/>
      <c r="C65" s="11"/>
      <c r="D65" s="11"/>
      <c r="E65" s="4"/>
      <c r="F65" s="30"/>
      <c r="G65" s="30" t="str">
        <f t="shared" si="0"/>
        <v/>
      </c>
      <c r="H65" s="4"/>
      <c r="I65" s="4"/>
    </row>
    <row r="66" spans="1:9">
      <c r="A66" s="4"/>
      <c r="B66" s="11"/>
      <c r="C66" s="11"/>
      <c r="D66" s="11"/>
      <c r="E66" s="4"/>
      <c r="F66" s="30"/>
      <c r="G66" s="30" t="str">
        <f t="shared" si="0"/>
        <v/>
      </c>
      <c r="H66" s="4"/>
      <c r="I66" s="4"/>
    </row>
    <row r="67" spans="1:9">
      <c r="A67" s="4"/>
      <c r="B67" s="11"/>
      <c r="C67" s="11"/>
      <c r="D67" s="11"/>
      <c r="E67" s="4"/>
      <c r="F67" s="30"/>
      <c r="G67" s="30" t="str">
        <f t="shared" si="0"/>
        <v/>
      </c>
      <c r="H67" s="4"/>
      <c r="I67" s="4"/>
    </row>
    <row r="68" spans="1:9">
      <c r="A68" s="4"/>
      <c r="B68" s="11"/>
      <c r="C68" s="11"/>
      <c r="D68" s="11"/>
      <c r="E68" s="4"/>
      <c r="F68" s="30"/>
      <c r="G68" s="30" t="str">
        <f t="shared" si="0"/>
        <v/>
      </c>
      <c r="H68" s="4"/>
      <c r="I68" s="4"/>
    </row>
    <row r="69" spans="1:9">
      <c r="A69" s="4"/>
      <c r="B69" s="11"/>
      <c r="C69" s="11"/>
      <c r="D69" s="11"/>
      <c r="E69" s="4"/>
      <c r="F69" s="30"/>
      <c r="G69" s="30" t="str">
        <f t="shared" si="0"/>
        <v/>
      </c>
      <c r="H69" s="4"/>
      <c r="I69" s="4"/>
    </row>
    <row r="70" spans="1:9">
      <c r="A70" s="4"/>
      <c r="B70" s="11"/>
      <c r="C70" s="11"/>
      <c r="D70" s="11"/>
      <c r="E70" s="4"/>
      <c r="F70" s="30"/>
      <c r="G70" s="30" t="str">
        <f t="shared" si="0"/>
        <v/>
      </c>
      <c r="H70" s="4"/>
      <c r="I70" s="4"/>
    </row>
    <row r="71" spans="1:9">
      <c r="A71" s="4"/>
      <c r="B71" s="14"/>
      <c r="C71" s="11"/>
      <c r="D71" s="11"/>
      <c r="E71" s="4"/>
      <c r="F71" s="30"/>
      <c r="G71" s="30" t="str">
        <f t="shared" si="0"/>
        <v/>
      </c>
      <c r="H71" s="4"/>
      <c r="I71" s="4"/>
    </row>
    <row r="72" spans="1:9">
      <c r="A72" s="4"/>
      <c r="B72" s="14"/>
      <c r="C72" s="11"/>
      <c r="D72" s="11"/>
      <c r="E72" s="4"/>
      <c r="F72" s="30"/>
      <c r="G72" s="30" t="str">
        <f t="shared" si="0"/>
        <v/>
      </c>
      <c r="H72" s="4"/>
      <c r="I72" s="4"/>
    </row>
    <row r="73" spans="1:9">
      <c r="A73" s="4"/>
      <c r="B73" s="11"/>
      <c r="C73" s="11"/>
      <c r="D73" s="11"/>
      <c r="E73" s="4"/>
      <c r="F73" s="30"/>
      <c r="G73" s="30" t="str">
        <f t="shared" si="0"/>
        <v/>
      </c>
      <c r="H73" s="4"/>
      <c r="I73" s="4"/>
    </row>
    <row r="74" spans="1:9">
      <c r="A74" s="4"/>
      <c r="B74" s="11"/>
      <c r="C74" s="11"/>
      <c r="D74" s="11"/>
      <c r="E74" s="4"/>
      <c r="F74" s="30"/>
      <c r="G74" s="30" t="str">
        <f t="shared" si="0"/>
        <v/>
      </c>
      <c r="H74" s="4"/>
      <c r="I74" s="4"/>
    </row>
    <row r="75" spans="1:9">
      <c r="A75" s="4"/>
      <c r="B75" s="11"/>
      <c r="C75" s="11"/>
      <c r="D75" s="11"/>
      <c r="E75" s="4"/>
      <c r="F75" s="30"/>
      <c r="G75" s="30" t="str">
        <f t="shared" ref="G75:G85" si="1">IFERROR(SUBSTITUTE(F75,"W","")/SUBSTITUTE(E75,"W","")*100, "")</f>
        <v/>
      </c>
      <c r="H75" s="4"/>
      <c r="I75" s="4"/>
    </row>
    <row r="76" spans="1:9">
      <c r="A76" s="4"/>
      <c r="B76" s="11"/>
      <c r="C76" s="11"/>
      <c r="D76" s="11"/>
      <c r="E76" s="4"/>
      <c r="F76" s="30"/>
      <c r="G76" s="30" t="str">
        <f t="shared" si="1"/>
        <v/>
      </c>
      <c r="H76" s="4"/>
      <c r="I76" s="4"/>
    </row>
    <row r="77" spans="1:9">
      <c r="A77" s="4"/>
      <c r="B77" s="11"/>
      <c r="C77" s="11"/>
      <c r="D77" s="11"/>
      <c r="E77" s="4"/>
      <c r="F77" s="30"/>
      <c r="G77" s="30" t="str">
        <f t="shared" si="1"/>
        <v/>
      </c>
      <c r="H77" s="4"/>
      <c r="I77" s="4"/>
    </row>
    <row r="78" spans="1:9">
      <c r="A78" s="4"/>
      <c r="B78" s="11"/>
      <c r="C78" s="11"/>
      <c r="D78" s="11"/>
      <c r="E78" s="4"/>
      <c r="F78" s="30"/>
      <c r="G78" s="30" t="str">
        <f t="shared" si="1"/>
        <v/>
      </c>
      <c r="H78" s="4"/>
      <c r="I78" s="4"/>
    </row>
    <row r="79" spans="1:9">
      <c r="A79" s="4"/>
      <c r="B79" s="11"/>
      <c r="C79" s="11"/>
      <c r="D79" s="11"/>
      <c r="E79" s="4"/>
      <c r="F79" s="30"/>
      <c r="G79" s="30" t="str">
        <f t="shared" si="1"/>
        <v/>
      </c>
      <c r="H79" s="4"/>
      <c r="I79" s="4"/>
    </row>
    <row r="80" spans="1:9">
      <c r="A80" s="4"/>
      <c r="B80" s="11"/>
      <c r="C80" s="11"/>
      <c r="D80" s="11"/>
      <c r="E80" s="4"/>
      <c r="F80" s="30"/>
      <c r="G80" s="30" t="str">
        <f t="shared" si="1"/>
        <v/>
      </c>
      <c r="H80" s="4"/>
      <c r="I80" s="4"/>
    </row>
    <row r="81" spans="1:9">
      <c r="A81" s="4"/>
      <c r="B81" s="11"/>
      <c r="C81" s="11"/>
      <c r="D81" s="11"/>
      <c r="E81" s="4"/>
      <c r="F81" s="30"/>
      <c r="G81" s="30" t="str">
        <f t="shared" si="1"/>
        <v/>
      </c>
      <c r="H81" s="4"/>
      <c r="I81" s="4"/>
    </row>
    <row r="82" spans="1:9">
      <c r="A82" s="4"/>
      <c r="B82" s="11"/>
      <c r="C82" s="11"/>
      <c r="D82" s="11"/>
      <c r="E82" s="4"/>
      <c r="F82" s="30"/>
      <c r="G82" s="30" t="str">
        <f t="shared" si="1"/>
        <v/>
      </c>
      <c r="H82" s="4"/>
      <c r="I82" s="4"/>
    </row>
    <row r="83" spans="1:9">
      <c r="A83" s="4"/>
      <c r="B83" s="14"/>
      <c r="C83" s="11"/>
      <c r="D83" s="11"/>
      <c r="E83" s="4"/>
      <c r="F83" s="30"/>
      <c r="G83" s="30" t="str">
        <f t="shared" si="1"/>
        <v/>
      </c>
      <c r="H83" s="4"/>
      <c r="I83" s="4"/>
    </row>
    <row r="84" spans="1:9">
      <c r="A84" s="4"/>
      <c r="B84" s="11"/>
      <c r="C84" s="11"/>
      <c r="D84" s="11"/>
      <c r="E84" s="4"/>
      <c r="F84" s="30"/>
      <c r="G84" s="30" t="str">
        <f t="shared" si="1"/>
        <v/>
      </c>
      <c r="H84" s="4"/>
      <c r="I84" s="4"/>
    </row>
    <row r="85" spans="1:9">
      <c r="A85" s="4"/>
      <c r="B85" s="11"/>
      <c r="C85" s="11"/>
      <c r="D85" s="11"/>
      <c r="E85" s="4"/>
      <c r="F85" s="30"/>
      <c r="G85" s="30" t="str">
        <f t="shared" si="1"/>
        <v/>
      </c>
      <c r="H85" s="4"/>
      <c r="I85" s="4"/>
    </row>
    <row r="86" spans="1:9">
      <c r="A86" s="4"/>
      <c r="B86" s="11"/>
      <c r="C86" s="11"/>
      <c r="D86" s="11"/>
      <c r="E86" s="4"/>
      <c r="F86" s="30"/>
      <c r="G86" s="30" t="str">
        <f>IFERROR(SUBSTITUTE(F86,"W","")/SUBSTITUTE(E86,"W","")*100, "")</f>
        <v/>
      </c>
      <c r="H86" s="4"/>
      <c r="I86" s="4"/>
    </row>
    <row r="87" spans="1:9">
      <c r="A87" s="4"/>
      <c r="B87" s="11"/>
      <c r="C87" s="11"/>
      <c r="D87" s="11"/>
      <c r="E87" s="4"/>
      <c r="F87" s="30"/>
      <c r="G87" s="30" t="str">
        <f t="shared" ref="G87:G89" si="2">IFERROR(SUBSTITUTE(F87,"W","")/SUBSTITUTE(E87,"W","")*100, "")</f>
        <v/>
      </c>
      <c r="H87" s="4"/>
      <c r="I87" s="4"/>
    </row>
    <row r="88" spans="1:9">
      <c r="A88" s="22"/>
      <c r="B88" s="25"/>
      <c r="C88" s="25"/>
      <c r="D88" s="25"/>
      <c r="E88" s="22"/>
      <c r="F88" s="32"/>
      <c r="G88" s="32" t="str">
        <f t="shared" si="2"/>
        <v/>
      </c>
      <c r="H88" s="22"/>
      <c r="I88" s="22"/>
    </row>
    <row r="89" spans="1:9">
      <c r="A89" s="4"/>
      <c r="B89" s="11"/>
      <c r="C89" s="11"/>
      <c r="D89" s="11"/>
      <c r="E89" s="4"/>
      <c r="F89" s="30"/>
      <c r="G89" s="30" t="str">
        <f t="shared" si="2"/>
        <v/>
      </c>
      <c r="H89" s="4"/>
      <c r="I89" s="4"/>
    </row>
    <row r="90" spans="1:9">
      <c r="A90" s="4"/>
      <c r="B90" s="11"/>
      <c r="C90" s="11"/>
      <c r="D90" s="11"/>
      <c r="E90" s="4"/>
      <c r="F90" s="30"/>
      <c r="G90" s="30"/>
      <c r="H90" s="4"/>
      <c r="I90" s="4"/>
    </row>
    <row r="91" spans="1:9">
      <c r="A91" s="4"/>
      <c r="B91" s="11"/>
      <c r="C91" s="11"/>
      <c r="D91" s="11"/>
      <c r="E91" s="4"/>
      <c r="F91" s="30"/>
      <c r="G91" s="30"/>
      <c r="H91" s="4"/>
      <c r="I91" s="4"/>
    </row>
    <row r="92" spans="1:9">
      <c r="A92" s="4"/>
      <c r="B92" s="11"/>
      <c r="C92" s="11"/>
      <c r="D92" s="11"/>
      <c r="E92" s="4"/>
      <c r="F92" s="30"/>
      <c r="G92" s="30"/>
      <c r="H92" s="4"/>
      <c r="I92" s="4"/>
    </row>
    <row r="93" spans="1:9">
      <c r="A93" s="4"/>
      <c r="B93" s="11"/>
      <c r="C93" s="11"/>
      <c r="D93" s="11"/>
      <c r="E93" s="4"/>
      <c r="F93" s="30"/>
      <c r="G93" s="30"/>
      <c r="H93" s="4"/>
      <c r="I93" s="4"/>
    </row>
    <row r="94" spans="1:9">
      <c r="A94" s="4"/>
      <c r="B94" s="11"/>
      <c r="C94" s="11"/>
      <c r="D94" s="11"/>
      <c r="E94" s="4"/>
      <c r="F94" s="30"/>
      <c r="G94" s="30"/>
      <c r="H94" s="4"/>
      <c r="I94" s="4"/>
    </row>
    <row r="95" spans="1:9">
      <c r="A95" s="4"/>
      <c r="B95" s="11"/>
      <c r="C95" s="11"/>
      <c r="D95" s="11"/>
      <c r="E95" s="4"/>
      <c r="F95" s="30"/>
      <c r="G95" s="30"/>
      <c r="H95" s="4"/>
      <c r="I95" s="4"/>
    </row>
    <row r="96" spans="1:9">
      <c r="A96" s="4"/>
      <c r="B96" s="14"/>
      <c r="C96" s="11"/>
      <c r="D96" s="11"/>
      <c r="E96" s="4"/>
      <c r="F96" s="30"/>
      <c r="G96" s="30"/>
      <c r="H96" s="4"/>
      <c r="I96" s="4"/>
    </row>
    <row r="97" spans="1:9">
      <c r="A97" s="4"/>
      <c r="B97" s="11"/>
      <c r="C97" s="11"/>
      <c r="D97" s="11"/>
      <c r="E97" s="4"/>
      <c r="F97" s="30"/>
      <c r="G97" s="30"/>
      <c r="H97" s="4"/>
      <c r="I97" s="4"/>
    </row>
    <row r="98" spans="1:9">
      <c r="A98" s="4"/>
      <c r="B98" s="11"/>
      <c r="C98" s="11"/>
      <c r="D98" s="11"/>
      <c r="E98" s="4"/>
      <c r="F98" s="30"/>
      <c r="G98" s="30"/>
      <c r="H98" s="4"/>
      <c r="I98" s="4"/>
    </row>
    <row r="99" spans="1:9">
      <c r="A99" s="4"/>
      <c r="B99" s="11"/>
      <c r="C99" s="11"/>
      <c r="D99" s="11"/>
      <c r="E99" s="4"/>
      <c r="F99" s="30"/>
      <c r="G99" s="30"/>
      <c r="H99" s="4"/>
      <c r="I99" s="4"/>
    </row>
    <row r="100" spans="1:9">
      <c r="A100" s="4"/>
      <c r="B100" s="11"/>
      <c r="C100" s="11"/>
      <c r="D100" s="11"/>
      <c r="E100" s="4"/>
      <c r="F100" s="30"/>
      <c r="G100" s="30"/>
      <c r="H100" s="4"/>
      <c r="I100" s="4"/>
    </row>
    <row r="101" spans="1:9">
      <c r="A101" s="4"/>
      <c r="B101" s="11"/>
      <c r="C101" s="11"/>
      <c r="D101" s="11"/>
      <c r="E101" s="4"/>
      <c r="F101" s="30"/>
      <c r="G101" s="30"/>
      <c r="H101" s="4"/>
      <c r="I101" s="4"/>
    </row>
    <row r="102" spans="1:9">
      <c r="A102" s="4"/>
      <c r="B102" s="11"/>
      <c r="C102" s="11"/>
      <c r="D102" s="11"/>
      <c r="E102" s="4"/>
      <c r="F102" s="30"/>
      <c r="G102" s="30"/>
      <c r="H102" s="4"/>
      <c r="I102" s="4"/>
    </row>
    <row r="103" spans="1:9">
      <c r="A103" s="4"/>
      <c r="B103" s="11"/>
      <c r="C103" s="11"/>
      <c r="D103" s="11"/>
      <c r="E103" s="4"/>
      <c r="F103" s="30"/>
      <c r="G103" s="30"/>
      <c r="H103" s="4"/>
      <c r="I103" s="4"/>
    </row>
    <row r="104" spans="1:9">
      <c r="A104" s="4"/>
      <c r="B104" s="14"/>
      <c r="C104" s="11"/>
      <c r="D104" s="11"/>
      <c r="E104" s="4"/>
      <c r="F104" s="30"/>
      <c r="G104" s="30"/>
      <c r="H104" s="4"/>
      <c r="I104" s="4"/>
    </row>
    <row r="105" spans="1:9">
      <c r="A105" s="4"/>
      <c r="B105" s="11"/>
      <c r="C105" s="11"/>
      <c r="D105" s="11"/>
      <c r="E105" s="4"/>
      <c r="F105" s="30"/>
      <c r="G105" s="30"/>
      <c r="H105" s="4"/>
      <c r="I105" s="4"/>
    </row>
    <row r="106" spans="1:9">
      <c r="A106" s="4"/>
      <c r="B106" s="11"/>
      <c r="C106" s="11"/>
      <c r="D106" s="11"/>
      <c r="E106" s="4"/>
      <c r="F106" s="30"/>
      <c r="G106" s="30"/>
      <c r="H106" s="4"/>
      <c r="I106" s="4"/>
    </row>
    <row r="107" spans="1:9">
      <c r="A107" s="4"/>
      <c r="B107" s="11"/>
      <c r="C107" s="11"/>
      <c r="D107" s="11"/>
      <c r="E107" s="4"/>
      <c r="F107" s="30"/>
      <c r="G107" s="30"/>
      <c r="H107" s="4"/>
      <c r="I107" s="4"/>
    </row>
    <row r="108" spans="1:9">
      <c r="A108" s="4"/>
      <c r="B108" s="11"/>
      <c r="C108" s="11"/>
      <c r="D108" s="11"/>
      <c r="E108" s="4"/>
      <c r="F108" s="30"/>
      <c r="G108" s="30"/>
      <c r="H108" s="4"/>
      <c r="I108" s="4"/>
    </row>
    <row r="109" spans="1:9">
      <c r="A109" s="4"/>
      <c r="B109" s="11"/>
      <c r="C109" s="11"/>
      <c r="D109" s="11"/>
      <c r="E109" s="4"/>
      <c r="F109" s="30"/>
      <c r="G109" s="30"/>
      <c r="H109" s="4"/>
      <c r="I109" s="4"/>
    </row>
    <row r="110" spans="1:9">
      <c r="A110" s="4"/>
      <c r="B110" s="11"/>
      <c r="C110" s="11"/>
      <c r="D110" s="11"/>
      <c r="E110" s="4"/>
      <c r="F110" s="30"/>
      <c r="G110" s="30"/>
      <c r="H110" s="4"/>
      <c r="I110" s="4"/>
    </row>
    <row r="111" spans="1:9" ht="16.350000000000001" customHeight="1">
      <c r="A111" s="4"/>
      <c r="B111" s="11"/>
      <c r="C111" s="11"/>
      <c r="D111" s="11"/>
      <c r="E111" s="4"/>
      <c r="F111" s="30"/>
      <c r="G111" s="30"/>
      <c r="H111" s="4"/>
      <c r="I111" s="4"/>
    </row>
    <row r="112" spans="1:9">
      <c r="A112" s="4"/>
      <c r="B112" s="11"/>
      <c r="C112" s="11"/>
      <c r="D112" s="11"/>
      <c r="E112" s="4"/>
      <c r="F112" s="30"/>
      <c r="G112" s="30" t="str">
        <f t="shared" ref="G112:G152" si="3">IFERROR(SUBSTITUTE(F112,"W","")/SUBSTITUTE(E112,"W","")*100, "")</f>
        <v/>
      </c>
      <c r="H112" s="4"/>
      <c r="I112" s="4"/>
    </row>
    <row r="113" spans="1:9">
      <c r="A113" s="4"/>
      <c r="B113" s="11"/>
      <c r="C113" s="11"/>
      <c r="D113" s="11"/>
      <c r="E113" s="4"/>
      <c r="F113" s="30"/>
      <c r="G113" s="30" t="str">
        <f t="shared" si="3"/>
        <v/>
      </c>
      <c r="H113" s="4"/>
      <c r="I113" s="4"/>
    </row>
    <row r="114" spans="1:9">
      <c r="A114" s="4"/>
      <c r="B114" s="11"/>
      <c r="C114" s="11"/>
      <c r="D114" s="11"/>
      <c r="E114" s="4"/>
      <c r="F114" s="30"/>
      <c r="G114" s="30" t="str">
        <f t="shared" si="3"/>
        <v/>
      </c>
      <c r="H114" s="4"/>
      <c r="I114" s="4"/>
    </row>
    <row r="115" spans="1:9">
      <c r="A115" s="4"/>
      <c r="B115" s="14"/>
      <c r="C115" s="11"/>
      <c r="D115" s="11"/>
      <c r="E115" s="4"/>
      <c r="F115" s="30"/>
      <c r="G115" s="30" t="str">
        <f t="shared" si="3"/>
        <v/>
      </c>
      <c r="H115" s="4"/>
      <c r="I115" s="4"/>
    </row>
    <row r="116" spans="1:9">
      <c r="A116" s="4"/>
      <c r="B116" s="11"/>
      <c r="C116" s="11"/>
      <c r="D116" s="11"/>
      <c r="E116" s="4"/>
      <c r="F116" s="30"/>
      <c r="G116" s="30" t="str">
        <f t="shared" si="3"/>
        <v/>
      </c>
      <c r="H116" s="4"/>
      <c r="I116" s="4"/>
    </row>
    <row r="117" spans="1:9">
      <c r="A117" s="4"/>
      <c r="B117" s="13"/>
      <c r="C117" s="11"/>
      <c r="D117" s="11"/>
      <c r="E117" s="4"/>
      <c r="F117" s="30"/>
      <c r="G117" s="30" t="str">
        <f t="shared" si="3"/>
        <v/>
      </c>
      <c r="H117" s="4"/>
      <c r="I117" s="4"/>
    </row>
    <row r="118" spans="1:9">
      <c r="A118" s="4"/>
      <c r="B118" s="11"/>
      <c r="C118" s="11"/>
      <c r="D118" s="11"/>
      <c r="E118" s="4"/>
      <c r="F118" s="30"/>
      <c r="G118" s="30" t="str">
        <f t="shared" si="3"/>
        <v/>
      </c>
      <c r="H118" s="4"/>
      <c r="I118" s="4"/>
    </row>
    <row r="119" spans="1:9" ht="19.5" customHeight="1">
      <c r="A119" s="4"/>
      <c r="B119" s="11"/>
      <c r="C119" s="11"/>
      <c r="D119" s="11"/>
      <c r="E119" s="4"/>
      <c r="F119" s="30"/>
      <c r="G119" s="30" t="str">
        <f t="shared" si="3"/>
        <v/>
      </c>
      <c r="H119" s="4"/>
      <c r="I119" s="4"/>
    </row>
    <row r="120" spans="1:9">
      <c r="A120" s="4"/>
      <c r="B120" s="11"/>
      <c r="C120" s="11"/>
      <c r="D120" s="11"/>
      <c r="E120" s="4"/>
      <c r="F120" s="30"/>
      <c r="G120" s="30" t="str">
        <f t="shared" si="3"/>
        <v/>
      </c>
      <c r="H120" s="4"/>
      <c r="I120" s="4"/>
    </row>
    <row r="121" spans="1:9">
      <c r="A121" s="4"/>
      <c r="B121" s="13"/>
      <c r="C121" s="11"/>
      <c r="D121" s="11"/>
      <c r="E121" s="4"/>
      <c r="F121" s="30"/>
      <c r="G121" s="30" t="str">
        <f t="shared" si="3"/>
        <v/>
      </c>
      <c r="H121" s="4"/>
      <c r="I121" s="4"/>
    </row>
    <row r="122" spans="1:9">
      <c r="A122" s="4"/>
      <c r="B122" s="11"/>
      <c r="C122" s="11"/>
      <c r="D122" s="11"/>
      <c r="E122" s="4"/>
      <c r="F122" s="30"/>
      <c r="G122" s="30" t="str">
        <f t="shared" si="3"/>
        <v/>
      </c>
      <c r="H122" s="4"/>
      <c r="I122" s="4"/>
    </row>
    <row r="123" spans="1:9">
      <c r="A123" s="4"/>
      <c r="B123" s="11"/>
      <c r="C123" s="11"/>
      <c r="D123" s="11"/>
      <c r="E123" s="4"/>
      <c r="F123" s="30"/>
      <c r="G123" s="30" t="str">
        <f t="shared" si="3"/>
        <v/>
      </c>
      <c r="H123" s="4"/>
      <c r="I123" s="4"/>
    </row>
    <row r="124" spans="1:9">
      <c r="A124" s="4"/>
      <c r="B124" s="11"/>
      <c r="C124" s="11"/>
      <c r="D124" s="11"/>
      <c r="E124" s="4"/>
      <c r="F124" s="30"/>
      <c r="G124" s="30" t="str">
        <f t="shared" si="3"/>
        <v/>
      </c>
      <c r="H124" s="4"/>
      <c r="I124" s="4"/>
    </row>
    <row r="125" spans="1:9">
      <c r="A125" s="4"/>
      <c r="B125" s="11"/>
      <c r="C125" s="11"/>
      <c r="D125" s="11"/>
      <c r="E125" s="4"/>
      <c r="F125" s="30"/>
      <c r="G125" s="30" t="str">
        <f t="shared" si="3"/>
        <v/>
      </c>
      <c r="H125" s="4"/>
      <c r="I125" s="4"/>
    </row>
    <row r="126" spans="1:9">
      <c r="A126" s="4"/>
      <c r="B126" s="11"/>
      <c r="C126" s="11"/>
      <c r="D126" s="11"/>
      <c r="E126" s="4"/>
      <c r="F126" s="30"/>
      <c r="G126" s="30" t="str">
        <f t="shared" si="3"/>
        <v/>
      </c>
      <c r="H126" s="4"/>
      <c r="I126" s="4"/>
    </row>
    <row r="127" spans="1:9">
      <c r="A127" s="4"/>
      <c r="B127" s="14"/>
      <c r="C127" s="11"/>
      <c r="D127" s="11"/>
      <c r="E127" s="4"/>
      <c r="F127" s="30"/>
      <c r="G127" s="30" t="str">
        <f t="shared" si="3"/>
        <v/>
      </c>
      <c r="H127" s="4"/>
      <c r="I127" s="4"/>
    </row>
    <row r="128" spans="1:9">
      <c r="A128" s="4"/>
      <c r="B128" s="11"/>
      <c r="C128" s="11"/>
      <c r="D128" s="11"/>
      <c r="E128" s="4"/>
      <c r="F128" s="30"/>
      <c r="G128" s="30" t="str">
        <f t="shared" si="3"/>
        <v/>
      </c>
      <c r="H128" s="4"/>
      <c r="I128" s="4"/>
    </row>
    <row r="129" spans="1:9">
      <c r="A129" s="4"/>
      <c r="B129" s="11"/>
      <c r="C129" s="11"/>
      <c r="D129" s="11"/>
      <c r="E129" s="4"/>
      <c r="F129" s="32"/>
      <c r="G129" s="32" t="str">
        <f t="shared" si="3"/>
        <v/>
      </c>
      <c r="H129" s="22"/>
      <c r="I129" s="22"/>
    </row>
    <row r="130" spans="1:9">
      <c r="A130" s="4"/>
      <c r="B130" s="14"/>
      <c r="C130" s="11"/>
      <c r="D130" s="11"/>
      <c r="E130" s="4"/>
      <c r="F130" s="32"/>
      <c r="G130" s="32" t="str">
        <f t="shared" si="3"/>
        <v/>
      </c>
      <c r="H130" s="22"/>
      <c r="I130" s="22"/>
    </row>
    <row r="131" spans="1:9">
      <c r="A131" s="4"/>
      <c r="B131" s="13"/>
      <c r="C131" s="11"/>
      <c r="D131" s="11"/>
      <c r="E131" s="4"/>
      <c r="F131" s="32"/>
      <c r="G131" s="32" t="str">
        <f t="shared" si="3"/>
        <v/>
      </c>
      <c r="H131" s="22"/>
      <c r="I131" s="22"/>
    </row>
    <row r="132" spans="1:9">
      <c r="A132" s="4"/>
      <c r="B132" s="11"/>
      <c r="C132" s="11"/>
      <c r="D132" s="11"/>
      <c r="E132" s="4"/>
      <c r="F132" s="32"/>
      <c r="G132" s="32" t="str">
        <f t="shared" si="3"/>
        <v/>
      </c>
      <c r="H132" s="22"/>
      <c r="I132" s="22"/>
    </row>
    <row r="133" spans="1:9">
      <c r="A133" s="4"/>
      <c r="B133" s="11"/>
      <c r="C133" s="11"/>
      <c r="D133" s="11"/>
      <c r="E133" s="4"/>
      <c r="F133" s="30"/>
      <c r="G133" s="30" t="str">
        <f t="shared" si="3"/>
        <v/>
      </c>
      <c r="H133" s="4"/>
      <c r="I133" s="4"/>
    </row>
    <row r="134" spans="1:9">
      <c r="A134" s="4"/>
      <c r="B134" s="11"/>
      <c r="C134" s="11"/>
      <c r="D134" s="11"/>
      <c r="E134" s="4"/>
      <c r="F134" s="30"/>
      <c r="G134" s="30" t="str">
        <f t="shared" si="3"/>
        <v/>
      </c>
      <c r="H134" s="4"/>
      <c r="I134" s="4"/>
    </row>
    <row r="135" spans="1:9">
      <c r="A135" s="4"/>
      <c r="B135" s="11"/>
      <c r="C135" s="11"/>
      <c r="D135" s="11"/>
      <c r="E135" s="4"/>
      <c r="F135" s="30"/>
      <c r="G135" s="30" t="str">
        <f t="shared" si="3"/>
        <v/>
      </c>
      <c r="H135" s="4"/>
      <c r="I135" s="4"/>
    </row>
    <row r="136" spans="1:9">
      <c r="A136" s="4"/>
      <c r="B136" s="11"/>
      <c r="C136" s="11"/>
      <c r="D136" s="11"/>
      <c r="E136" s="4"/>
      <c r="F136" s="30"/>
      <c r="G136" s="30" t="str">
        <f t="shared" si="3"/>
        <v/>
      </c>
      <c r="H136" s="4"/>
      <c r="I136" s="4"/>
    </row>
    <row r="137" spans="1:9">
      <c r="A137" s="4"/>
      <c r="B137" s="11"/>
      <c r="C137" s="11"/>
      <c r="D137" s="11"/>
      <c r="E137" s="4"/>
      <c r="F137" s="30"/>
      <c r="G137" s="30" t="str">
        <f t="shared" si="3"/>
        <v/>
      </c>
      <c r="H137" s="4"/>
      <c r="I137" s="4"/>
    </row>
    <row r="138" spans="1:9">
      <c r="A138" s="4"/>
      <c r="B138" s="11"/>
      <c r="C138" s="11"/>
      <c r="D138" s="11"/>
      <c r="E138" s="4"/>
      <c r="F138" s="30"/>
      <c r="G138" s="30" t="str">
        <f t="shared" si="3"/>
        <v/>
      </c>
      <c r="H138" s="4"/>
      <c r="I138" s="4"/>
    </row>
    <row r="139" spans="1:9">
      <c r="A139" s="4"/>
      <c r="B139" s="11"/>
      <c r="C139" s="11"/>
      <c r="D139" s="11"/>
      <c r="E139" s="4"/>
      <c r="F139" s="30"/>
      <c r="G139" s="30" t="str">
        <f t="shared" si="3"/>
        <v/>
      </c>
      <c r="H139" s="4"/>
      <c r="I139" s="4"/>
    </row>
    <row r="140" spans="1:9">
      <c r="A140" s="4"/>
      <c r="B140" s="11"/>
      <c r="C140" s="11"/>
      <c r="D140" s="11"/>
      <c r="E140" s="4"/>
      <c r="F140" s="30"/>
      <c r="G140" s="30" t="str">
        <f t="shared" si="3"/>
        <v/>
      </c>
      <c r="H140" s="4"/>
      <c r="I140" s="4"/>
    </row>
    <row r="141" spans="1:9">
      <c r="A141" s="4"/>
      <c r="B141" s="14"/>
      <c r="C141" s="11"/>
      <c r="D141" s="11"/>
      <c r="E141" s="4"/>
      <c r="F141" s="30"/>
      <c r="G141" s="30" t="str">
        <f t="shared" si="3"/>
        <v/>
      </c>
      <c r="H141" s="4"/>
      <c r="I141" s="4"/>
    </row>
    <row r="142" spans="1:9">
      <c r="A142" s="4"/>
      <c r="B142" s="11"/>
      <c r="C142" s="11"/>
      <c r="D142" s="11"/>
      <c r="E142" s="4"/>
      <c r="F142" s="30"/>
      <c r="G142" s="30" t="str">
        <f t="shared" si="3"/>
        <v/>
      </c>
      <c r="H142" s="4"/>
      <c r="I142" s="4"/>
    </row>
    <row r="143" spans="1:9">
      <c r="A143" s="4"/>
      <c r="B143" s="11"/>
      <c r="C143" s="11"/>
      <c r="D143" s="11"/>
      <c r="E143" s="4"/>
      <c r="F143" s="30"/>
      <c r="G143" s="30" t="str">
        <f t="shared" si="3"/>
        <v/>
      </c>
      <c r="H143" s="4"/>
      <c r="I143" s="4"/>
    </row>
    <row r="144" spans="1:9">
      <c r="A144" s="4"/>
      <c r="B144" s="11"/>
      <c r="C144" s="11"/>
      <c r="D144" s="11"/>
      <c r="E144" s="4"/>
      <c r="F144" s="30"/>
      <c r="G144" s="30" t="str">
        <f t="shared" si="3"/>
        <v/>
      </c>
      <c r="H144" s="4"/>
      <c r="I144" s="4"/>
    </row>
    <row r="145" spans="1:9">
      <c r="A145" s="4"/>
      <c r="B145" s="11"/>
      <c r="C145" s="11"/>
      <c r="D145" s="11"/>
      <c r="E145" s="4"/>
      <c r="F145" s="30"/>
      <c r="G145" s="30" t="str">
        <f t="shared" si="3"/>
        <v/>
      </c>
      <c r="H145" s="4"/>
      <c r="I145" s="4"/>
    </row>
    <row r="146" spans="1:9">
      <c r="A146" s="4"/>
      <c r="B146" s="14"/>
      <c r="C146" s="11"/>
      <c r="D146" s="11"/>
      <c r="E146" s="4"/>
      <c r="F146" s="30"/>
      <c r="G146" s="30" t="str">
        <f t="shared" si="3"/>
        <v/>
      </c>
      <c r="H146" s="4"/>
      <c r="I146" s="4"/>
    </row>
    <row r="147" spans="1:9">
      <c r="A147" s="4"/>
      <c r="B147" s="14"/>
      <c r="C147" s="11"/>
      <c r="D147" s="11"/>
      <c r="E147" s="4"/>
      <c r="F147" s="30"/>
      <c r="G147" s="30" t="str">
        <f t="shared" si="3"/>
        <v/>
      </c>
      <c r="H147" s="4"/>
      <c r="I147" s="4"/>
    </row>
    <row r="148" spans="1:9">
      <c r="A148" s="4"/>
      <c r="B148" s="11"/>
      <c r="C148" s="11"/>
      <c r="D148" s="11"/>
      <c r="E148" s="4"/>
      <c r="F148" s="30"/>
      <c r="G148" s="30" t="str">
        <f t="shared" si="3"/>
        <v/>
      </c>
      <c r="H148" s="4"/>
      <c r="I148" s="4"/>
    </row>
    <row r="149" spans="1:9">
      <c r="A149" s="4"/>
      <c r="B149" s="14"/>
      <c r="C149" s="11"/>
      <c r="D149" s="11"/>
      <c r="E149" s="4"/>
      <c r="F149" s="30"/>
      <c r="G149" s="30" t="str">
        <f t="shared" si="3"/>
        <v/>
      </c>
      <c r="H149" s="4"/>
      <c r="I149" s="4"/>
    </row>
    <row r="150" spans="1:9">
      <c r="A150" s="4"/>
      <c r="B150" s="11"/>
      <c r="C150" s="11"/>
      <c r="D150" s="11"/>
      <c r="E150" s="4"/>
      <c r="F150" s="30"/>
      <c r="G150" s="30" t="str">
        <f t="shared" si="3"/>
        <v/>
      </c>
      <c r="H150" s="4"/>
      <c r="I150" s="4"/>
    </row>
    <row r="151" spans="1:9">
      <c r="A151" s="4"/>
      <c r="B151" s="11"/>
      <c r="C151" s="11"/>
      <c r="D151" s="11"/>
      <c r="E151" s="4"/>
      <c r="F151" s="30"/>
      <c r="G151" s="30" t="str">
        <f t="shared" si="3"/>
        <v/>
      </c>
      <c r="H151" s="4"/>
      <c r="I151" s="4"/>
    </row>
    <row r="152" spans="1:9">
      <c r="A152" s="4"/>
      <c r="B152" s="11"/>
      <c r="C152" s="11"/>
      <c r="D152" s="11"/>
      <c r="E152" s="4"/>
      <c r="F152" s="30"/>
      <c r="G152" s="30" t="str">
        <f t="shared" si="3"/>
        <v/>
      </c>
      <c r="H152" s="4"/>
      <c r="I152" s="4"/>
    </row>
    <row r="153" spans="1:9">
      <c r="A153" s="4"/>
      <c r="B153" s="11"/>
      <c r="C153" s="11"/>
      <c r="D153" s="11"/>
      <c r="E153" s="4"/>
      <c r="F153" s="30"/>
      <c r="G153" s="30" t="str">
        <f t="shared" ref="G153" si="4">IFERROR(SUBSTITUTE(F153,"W","")/SUBSTITUTE(E153,"W","")*100, "")</f>
        <v/>
      </c>
      <c r="H153" s="4"/>
      <c r="I153" s="4"/>
    </row>
  </sheetData>
  <autoFilter ref="A5:I5" xr:uid="{00000000-0001-0000-0000-000000000000}">
    <sortState xmlns:xlrd2="http://schemas.microsoft.com/office/spreadsheetml/2017/richdata2" ref="A6:I153">
      <sortCondition ref="B5"/>
    </sortState>
  </autoFilter>
  <mergeCells count="6">
    <mergeCell ref="A1:I1"/>
    <mergeCell ref="A2:B2"/>
    <mergeCell ref="A3:B3"/>
    <mergeCell ref="A4:B4"/>
    <mergeCell ref="E2:I2"/>
    <mergeCell ref="E3:I4"/>
  </mergeCells>
  <phoneticPr fontId="2" type="noConversion"/>
  <pageMargins left="0.7" right="0.7" top="0.75" bottom="0.75" header="0.3" footer="0.3"/>
  <pageSetup paperSize="9" scale="48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2"/>
  <sheetViews>
    <sheetView view="pageBreakPreview" zoomScale="85" zoomScaleNormal="100" zoomScaleSheetLayoutView="85" workbookViewId="0">
      <selection activeCell="D223" sqref="D223"/>
    </sheetView>
  </sheetViews>
  <sheetFormatPr defaultColWidth="9" defaultRowHeight="16.5"/>
  <cols>
    <col min="1" max="1" width="6.125" style="1" customWidth="1"/>
    <col min="2" max="2" width="9" style="1" bestFit="1" customWidth="1"/>
    <col min="3" max="3" width="19.75" style="1" customWidth="1"/>
    <col min="4" max="4" width="23.625" style="1" bestFit="1" customWidth="1"/>
    <col min="5" max="9" width="19.75" style="1" customWidth="1"/>
    <col min="10" max="16384" width="9" style="1"/>
  </cols>
  <sheetData>
    <row r="1" spans="1:9" s="2" customFormat="1" ht="31.5">
      <c r="A1" s="61" t="s">
        <v>12</v>
      </c>
      <c r="B1" s="61"/>
      <c r="C1" s="61"/>
      <c r="D1" s="61"/>
      <c r="E1" s="61"/>
      <c r="F1" s="61"/>
      <c r="G1" s="61"/>
      <c r="H1" s="61"/>
      <c r="I1" s="61"/>
    </row>
    <row r="2" spans="1:9" s="2" customFormat="1">
      <c r="A2" s="62" t="s">
        <v>21</v>
      </c>
      <c r="B2" s="63"/>
      <c r="C2" s="9"/>
      <c r="D2" s="9"/>
      <c r="E2" s="64" t="s">
        <v>22</v>
      </c>
      <c r="F2" s="64"/>
      <c r="G2" s="64"/>
      <c r="H2" s="64"/>
      <c r="I2" s="64"/>
    </row>
    <row r="3" spans="1:9" s="2" customFormat="1">
      <c r="A3" s="62" t="s">
        <v>20</v>
      </c>
      <c r="B3" s="63"/>
      <c r="C3" s="9"/>
      <c r="D3" s="9"/>
      <c r="E3" s="65"/>
      <c r="F3" s="65"/>
      <c r="G3" s="65"/>
      <c r="H3" s="65"/>
      <c r="I3" s="65"/>
    </row>
    <row r="4" spans="1:9" s="2" customFormat="1">
      <c r="A4" s="62" t="s">
        <v>19</v>
      </c>
      <c r="B4" s="63"/>
      <c r="C4" s="9"/>
      <c r="D4" s="9"/>
      <c r="E4" s="65"/>
      <c r="F4" s="65"/>
      <c r="G4" s="65"/>
      <c r="H4" s="65"/>
      <c r="I4" s="65"/>
    </row>
    <row r="5" spans="1:9">
      <c r="A5" s="8" t="s">
        <v>8</v>
      </c>
      <c r="B5" s="8" t="s">
        <v>9</v>
      </c>
      <c r="C5" s="5" t="s">
        <v>0</v>
      </c>
      <c r="D5" s="5" t="s">
        <v>23</v>
      </c>
      <c r="E5" s="5" t="s">
        <v>1</v>
      </c>
      <c r="F5" s="5" t="s">
        <v>2</v>
      </c>
      <c r="G5" s="5" t="s">
        <v>10</v>
      </c>
      <c r="H5" s="5" t="s">
        <v>3</v>
      </c>
      <c r="I5" s="5" t="s">
        <v>11</v>
      </c>
    </row>
    <row r="6" spans="1:9">
      <c r="A6" s="4">
        <v>1</v>
      </c>
      <c r="B6" s="11" t="s">
        <v>52</v>
      </c>
      <c r="C6" s="11" t="s">
        <v>24</v>
      </c>
      <c r="D6" s="11" t="s">
        <v>25</v>
      </c>
      <c r="E6" s="4" t="s">
        <v>27</v>
      </c>
      <c r="F6" s="4"/>
      <c r="G6" s="31" t="str">
        <f t="shared" ref="G6" si="0">IFERROR(SUBSTITUTE(F6,"V","")/SUBSTITUTE(E6,"V","")*100, "")</f>
        <v/>
      </c>
      <c r="H6" s="4" t="s">
        <v>7</v>
      </c>
      <c r="I6" s="4" t="str">
        <f t="shared" ref="I6" si="1">IFERROR(IF(G6 &lt;= VALUE(SUBSTITUTE(SUBSTITUTE(H6,"≤ ",""),"%","")), "Pass", "Fail"), "")</f>
        <v>Fail</v>
      </c>
    </row>
    <row r="7" spans="1:9">
      <c r="A7" s="4"/>
      <c r="B7" s="11"/>
      <c r="C7" s="11"/>
      <c r="D7" s="11"/>
      <c r="E7" s="4"/>
      <c r="F7" s="4"/>
      <c r="G7" s="31"/>
      <c r="H7" s="4"/>
      <c r="I7" s="4"/>
    </row>
    <row r="8" spans="1:9">
      <c r="A8" s="4"/>
      <c r="B8" s="11"/>
      <c r="C8" s="11"/>
      <c r="D8" s="11"/>
      <c r="E8" s="4"/>
      <c r="F8" s="4"/>
      <c r="G8" s="31"/>
      <c r="H8" s="4"/>
      <c r="I8" s="4"/>
    </row>
    <row r="9" spans="1:9">
      <c r="A9" s="4"/>
      <c r="B9" s="11"/>
      <c r="C9" s="11"/>
      <c r="D9" s="11"/>
      <c r="E9" s="4"/>
      <c r="F9" s="4"/>
      <c r="G9" s="31"/>
      <c r="H9" s="4"/>
      <c r="I9" s="4"/>
    </row>
    <row r="10" spans="1:9">
      <c r="A10" s="4"/>
      <c r="B10" s="11"/>
      <c r="C10" s="11"/>
      <c r="D10" s="11"/>
      <c r="E10" s="4"/>
      <c r="F10" s="4"/>
      <c r="G10" s="31"/>
      <c r="H10" s="4"/>
      <c r="I10" s="4"/>
    </row>
    <row r="11" spans="1:9">
      <c r="A11" s="4"/>
      <c r="B11" s="11"/>
      <c r="C11" s="11"/>
      <c r="D11" s="11"/>
      <c r="E11" s="4"/>
      <c r="F11" s="4"/>
      <c r="G11" s="31"/>
      <c r="H11" s="4"/>
      <c r="I11" s="4"/>
    </row>
    <row r="12" spans="1:9">
      <c r="A12" s="4"/>
      <c r="B12" s="11"/>
      <c r="C12" s="11"/>
      <c r="D12" s="11"/>
      <c r="E12" s="4"/>
      <c r="F12" s="4"/>
      <c r="G12" s="31"/>
      <c r="H12" s="4"/>
      <c r="I12" s="4"/>
    </row>
    <row r="13" spans="1:9">
      <c r="A13" s="4"/>
      <c r="B13" s="11"/>
      <c r="C13" s="11"/>
      <c r="D13" s="11"/>
      <c r="E13" s="4"/>
      <c r="F13" s="4"/>
      <c r="G13" s="31"/>
      <c r="H13" s="4"/>
      <c r="I13" s="4"/>
    </row>
    <row r="14" spans="1:9">
      <c r="A14" s="4"/>
      <c r="B14" s="11"/>
      <c r="C14" s="11"/>
      <c r="D14" s="11"/>
      <c r="E14" s="4"/>
      <c r="F14" s="4"/>
      <c r="G14" s="31"/>
      <c r="H14" s="4"/>
      <c r="I14" s="4"/>
    </row>
    <row r="15" spans="1:9">
      <c r="A15" s="4"/>
      <c r="B15" s="11"/>
      <c r="C15" s="11"/>
      <c r="D15" s="11"/>
      <c r="E15" s="4"/>
      <c r="F15" s="4"/>
      <c r="G15" s="31"/>
      <c r="H15" s="4"/>
      <c r="I15" s="4"/>
    </row>
    <row r="16" spans="1:9">
      <c r="A16" s="4"/>
      <c r="B16" s="11"/>
      <c r="C16" s="11"/>
      <c r="D16" s="11"/>
      <c r="E16" s="4"/>
      <c r="F16" s="4"/>
      <c r="G16" s="31"/>
      <c r="H16" s="4"/>
      <c r="I16" s="4"/>
    </row>
    <row r="17" spans="1:9">
      <c r="A17" s="4"/>
      <c r="B17" s="11"/>
      <c r="C17" s="11"/>
      <c r="D17" s="11"/>
      <c r="E17" s="4"/>
      <c r="F17" s="4"/>
      <c r="G17" s="31"/>
      <c r="H17" s="4"/>
      <c r="I17" s="4"/>
    </row>
    <row r="18" spans="1:9">
      <c r="A18" s="4"/>
      <c r="B18" s="11"/>
      <c r="C18" s="11"/>
      <c r="D18" s="11"/>
      <c r="E18" s="4"/>
      <c r="F18" s="4"/>
      <c r="G18" s="31"/>
      <c r="H18" s="4"/>
      <c r="I18" s="4"/>
    </row>
    <row r="19" spans="1:9">
      <c r="A19" s="4"/>
      <c r="B19" s="11"/>
      <c r="C19" s="11"/>
      <c r="D19" s="11"/>
      <c r="E19" s="4"/>
      <c r="F19" s="4"/>
      <c r="G19" s="31"/>
      <c r="H19" s="4"/>
      <c r="I19" s="4"/>
    </row>
    <row r="20" spans="1:9">
      <c r="A20" s="4"/>
      <c r="B20" s="11"/>
      <c r="C20" s="11"/>
      <c r="D20" s="11"/>
      <c r="E20" s="4"/>
      <c r="F20" s="4"/>
      <c r="G20" s="31"/>
      <c r="H20" s="4"/>
      <c r="I20" s="4"/>
    </row>
    <row r="21" spans="1:9">
      <c r="A21" s="4"/>
      <c r="B21" s="11"/>
      <c r="C21" s="11"/>
      <c r="D21" s="11"/>
      <c r="E21" s="4"/>
      <c r="F21" s="4"/>
      <c r="G21" s="31"/>
      <c r="H21" s="4"/>
      <c r="I21" s="4"/>
    </row>
    <row r="22" spans="1:9">
      <c r="A22" s="4"/>
      <c r="B22" s="11"/>
      <c r="C22" s="11"/>
      <c r="D22" s="11"/>
      <c r="E22" s="4"/>
      <c r="F22" s="4"/>
      <c r="G22" s="31"/>
      <c r="H22" s="4"/>
      <c r="I22" s="4"/>
    </row>
    <row r="23" spans="1:9">
      <c r="A23" s="4"/>
      <c r="B23" s="11"/>
      <c r="C23" s="11"/>
      <c r="D23" s="11"/>
      <c r="E23" s="4"/>
      <c r="F23" s="4"/>
      <c r="G23" s="31"/>
      <c r="H23" s="4"/>
      <c r="I23" s="4"/>
    </row>
    <row r="24" spans="1:9">
      <c r="A24" s="4"/>
      <c r="B24" s="11"/>
      <c r="C24" s="11"/>
      <c r="D24" s="11"/>
      <c r="E24" s="4"/>
      <c r="F24" s="4"/>
      <c r="G24" s="31"/>
      <c r="H24" s="4"/>
      <c r="I24" s="4"/>
    </row>
    <row r="25" spans="1:9">
      <c r="A25" s="4"/>
      <c r="B25" s="11"/>
      <c r="C25" s="11"/>
      <c r="D25" s="11"/>
      <c r="E25" s="4"/>
      <c r="F25" s="4"/>
      <c r="G25" s="31"/>
      <c r="H25" s="4"/>
      <c r="I25" s="4"/>
    </row>
    <row r="26" spans="1:9">
      <c r="A26" s="4"/>
      <c r="B26" s="11"/>
      <c r="C26" s="11"/>
      <c r="D26" s="11"/>
      <c r="E26" s="4"/>
      <c r="F26" s="4"/>
      <c r="G26" s="31"/>
      <c r="H26" s="4"/>
      <c r="I26" s="4"/>
    </row>
    <row r="27" spans="1:9">
      <c r="A27" s="4"/>
      <c r="B27" s="11"/>
      <c r="C27" s="11"/>
      <c r="D27" s="11"/>
      <c r="E27" s="4"/>
      <c r="F27" s="4"/>
      <c r="G27" s="31"/>
      <c r="H27" s="4"/>
      <c r="I27" s="4"/>
    </row>
    <row r="28" spans="1:9">
      <c r="A28" s="4"/>
      <c r="B28" s="11"/>
      <c r="C28" s="11"/>
      <c r="D28" s="11"/>
      <c r="E28" s="4"/>
      <c r="F28" s="4"/>
      <c r="G28" s="31"/>
      <c r="H28" s="4"/>
      <c r="I28" s="4"/>
    </row>
    <row r="29" spans="1:9">
      <c r="A29" s="4"/>
      <c r="B29" s="11"/>
      <c r="C29" s="11"/>
      <c r="D29" s="11"/>
      <c r="E29" s="4"/>
      <c r="F29" s="4"/>
      <c r="G29" s="31"/>
      <c r="H29" s="4"/>
      <c r="I29" s="4"/>
    </row>
    <row r="30" spans="1:9">
      <c r="A30" s="4"/>
      <c r="B30" s="11"/>
      <c r="C30" s="11"/>
      <c r="D30" s="11"/>
      <c r="E30" s="4"/>
      <c r="F30" s="4"/>
      <c r="G30" s="31"/>
      <c r="H30" s="4"/>
      <c r="I30" s="4"/>
    </row>
    <row r="31" spans="1:9">
      <c r="A31" s="4"/>
      <c r="B31" s="11"/>
      <c r="C31" s="11"/>
      <c r="D31" s="11"/>
      <c r="E31" s="4"/>
      <c r="F31" s="4"/>
      <c r="G31" s="31"/>
      <c r="H31" s="4"/>
      <c r="I31" s="4"/>
    </row>
    <row r="32" spans="1:9">
      <c r="A32" s="4"/>
      <c r="B32" s="11"/>
      <c r="C32" s="11"/>
      <c r="D32" s="11"/>
      <c r="E32" s="4"/>
      <c r="F32" s="4"/>
      <c r="G32" s="31"/>
      <c r="H32" s="4"/>
      <c r="I32" s="4"/>
    </row>
    <row r="33" spans="1:9">
      <c r="A33" s="4"/>
      <c r="B33" s="11"/>
      <c r="C33" s="11"/>
      <c r="D33" s="11"/>
      <c r="E33" s="4"/>
      <c r="F33" s="4"/>
      <c r="G33" s="31"/>
      <c r="H33" s="4"/>
      <c r="I33" s="4"/>
    </row>
    <row r="34" spans="1:9">
      <c r="A34" s="4"/>
      <c r="B34" s="11"/>
      <c r="C34" s="11"/>
      <c r="D34" s="11"/>
      <c r="E34" s="4"/>
      <c r="F34" s="4"/>
      <c r="G34" s="31"/>
      <c r="H34" s="4"/>
      <c r="I34" s="4"/>
    </row>
    <row r="35" spans="1:9">
      <c r="A35" s="4"/>
      <c r="B35" s="11"/>
      <c r="C35" s="11"/>
      <c r="D35" s="11"/>
      <c r="E35" s="4"/>
      <c r="F35" s="4"/>
      <c r="G35" s="31"/>
      <c r="H35" s="4"/>
      <c r="I35" s="4"/>
    </row>
    <row r="36" spans="1:9">
      <c r="A36" s="4"/>
      <c r="B36" s="11"/>
      <c r="C36" s="11"/>
      <c r="D36" s="11"/>
      <c r="E36" s="4"/>
      <c r="F36" s="4"/>
      <c r="G36" s="31"/>
      <c r="H36" s="4"/>
      <c r="I36" s="4"/>
    </row>
    <row r="37" spans="1:9">
      <c r="A37" s="4"/>
      <c r="B37" s="11"/>
      <c r="C37" s="11"/>
      <c r="D37" s="11"/>
      <c r="E37" s="4"/>
      <c r="F37" s="4"/>
      <c r="G37" s="31"/>
      <c r="H37" s="4"/>
      <c r="I37" s="4"/>
    </row>
    <row r="38" spans="1:9">
      <c r="A38" s="4"/>
      <c r="B38" s="11"/>
      <c r="C38" s="11"/>
      <c r="D38" s="11"/>
      <c r="E38" s="4"/>
      <c r="F38" s="4"/>
      <c r="G38" s="31"/>
      <c r="H38" s="4"/>
      <c r="I38" s="4"/>
    </row>
    <row r="39" spans="1:9">
      <c r="A39" s="4"/>
      <c r="B39" s="11"/>
      <c r="C39" s="11"/>
      <c r="D39" s="11"/>
      <c r="E39" s="4"/>
      <c r="F39" s="4"/>
      <c r="G39" s="31"/>
      <c r="H39" s="4"/>
      <c r="I39" s="4"/>
    </row>
    <row r="40" spans="1:9">
      <c r="A40" s="4"/>
      <c r="B40" s="11"/>
      <c r="C40" s="11"/>
      <c r="D40" s="11"/>
      <c r="E40" s="4"/>
      <c r="F40" s="4"/>
      <c r="G40" s="31"/>
      <c r="H40" s="4"/>
      <c r="I40" s="4"/>
    </row>
    <row r="41" spans="1:9">
      <c r="A41" s="4"/>
      <c r="B41" s="11"/>
      <c r="C41" s="11"/>
      <c r="D41" s="11"/>
      <c r="E41" s="4"/>
      <c r="F41" s="4"/>
      <c r="G41" s="31"/>
      <c r="H41" s="4"/>
      <c r="I41" s="4"/>
    </row>
    <row r="42" spans="1:9">
      <c r="A42" s="4"/>
      <c r="B42" s="11"/>
      <c r="C42" s="11"/>
      <c r="D42" s="11"/>
      <c r="E42" s="4"/>
      <c r="F42" s="4"/>
      <c r="G42" s="31"/>
      <c r="H42" s="4"/>
      <c r="I42" s="4"/>
    </row>
    <row r="43" spans="1:9">
      <c r="A43" s="4"/>
      <c r="B43" s="11"/>
      <c r="C43" s="11"/>
      <c r="D43" s="11"/>
      <c r="E43" s="4"/>
      <c r="F43" s="4"/>
      <c r="G43" s="31"/>
      <c r="H43" s="4"/>
      <c r="I43" s="4"/>
    </row>
    <row r="44" spans="1:9">
      <c r="A44" s="4"/>
      <c r="B44" s="11"/>
      <c r="C44" s="11"/>
      <c r="D44" s="11"/>
      <c r="E44" s="4"/>
      <c r="F44" s="4"/>
      <c r="G44" s="31"/>
      <c r="H44" s="4"/>
      <c r="I44" s="4"/>
    </row>
    <row r="45" spans="1:9">
      <c r="A45" s="4"/>
      <c r="B45" s="11"/>
      <c r="C45" s="11"/>
      <c r="D45" s="11"/>
      <c r="E45" s="4"/>
      <c r="F45" s="4"/>
      <c r="G45" s="31"/>
      <c r="H45" s="4"/>
      <c r="I45" s="4"/>
    </row>
    <row r="46" spans="1:9">
      <c r="A46" s="4"/>
      <c r="B46" s="11"/>
      <c r="C46" s="11"/>
      <c r="D46" s="11"/>
      <c r="E46" s="4"/>
      <c r="F46" s="4"/>
      <c r="G46" s="31"/>
      <c r="H46" s="4"/>
      <c r="I46" s="4"/>
    </row>
    <row r="47" spans="1:9">
      <c r="A47" s="4"/>
      <c r="B47" s="11"/>
      <c r="C47" s="11"/>
      <c r="D47" s="11"/>
      <c r="E47" s="4"/>
      <c r="F47" s="4"/>
      <c r="G47" s="31"/>
      <c r="H47" s="4"/>
      <c r="I47" s="4"/>
    </row>
    <row r="48" spans="1:9">
      <c r="A48" s="4"/>
      <c r="B48" s="25"/>
      <c r="C48" s="25"/>
      <c r="D48" s="25"/>
      <c r="E48" s="22"/>
      <c r="F48" s="4"/>
      <c r="G48" s="31"/>
      <c r="H48" s="4"/>
      <c r="I48" s="4"/>
    </row>
    <row r="49" spans="1:9">
      <c r="A49" s="4"/>
      <c r="B49" s="11"/>
      <c r="C49" s="11"/>
      <c r="D49" s="11"/>
      <c r="E49" s="4"/>
      <c r="F49" s="4"/>
      <c r="G49" s="31"/>
      <c r="H49" s="4"/>
      <c r="I49" s="4"/>
    </row>
    <row r="50" spans="1:9">
      <c r="A50" s="4"/>
      <c r="B50" s="11"/>
      <c r="C50" s="11"/>
      <c r="D50" s="11"/>
      <c r="E50" s="4"/>
      <c r="F50" s="4"/>
      <c r="G50" s="31"/>
      <c r="H50" s="4"/>
      <c r="I50" s="4"/>
    </row>
    <row r="51" spans="1:9">
      <c r="A51" s="4"/>
      <c r="B51" s="11"/>
      <c r="C51" s="11"/>
      <c r="D51" s="11"/>
      <c r="E51" s="4"/>
      <c r="F51" s="4"/>
      <c r="G51" s="31"/>
      <c r="H51" s="4"/>
      <c r="I51" s="4"/>
    </row>
    <row r="52" spans="1:9">
      <c r="A52" s="4"/>
      <c r="B52" s="11"/>
      <c r="C52" s="11"/>
      <c r="D52" s="11"/>
      <c r="E52" s="4"/>
      <c r="F52" s="4"/>
      <c r="G52" s="31"/>
      <c r="H52" s="4"/>
      <c r="I52" s="4"/>
    </row>
    <row r="53" spans="1:9">
      <c r="A53" s="4"/>
      <c r="B53" s="11"/>
      <c r="C53" s="11"/>
      <c r="D53" s="11"/>
      <c r="E53" s="4"/>
      <c r="F53" s="4"/>
      <c r="G53" s="31"/>
      <c r="H53" s="4"/>
      <c r="I53" s="4"/>
    </row>
    <row r="54" spans="1:9">
      <c r="A54" s="4"/>
      <c r="B54" s="11"/>
      <c r="C54" s="11"/>
      <c r="D54" s="11"/>
      <c r="E54" s="4"/>
      <c r="F54" s="4"/>
      <c r="G54" s="31"/>
      <c r="H54" s="4"/>
      <c r="I54" s="4"/>
    </row>
    <row r="55" spans="1:9">
      <c r="A55" s="4"/>
      <c r="B55" s="11"/>
      <c r="C55" s="11"/>
      <c r="D55" s="11"/>
      <c r="E55" s="4"/>
      <c r="F55" s="4"/>
      <c r="G55" s="31"/>
      <c r="H55" s="4"/>
      <c r="I55" s="4"/>
    </row>
    <row r="56" spans="1:9">
      <c r="A56" s="4"/>
      <c r="B56" s="11"/>
      <c r="C56" s="11"/>
      <c r="D56" s="11"/>
      <c r="E56" s="4"/>
      <c r="F56" s="4"/>
      <c r="G56" s="31"/>
      <c r="H56" s="4"/>
      <c r="I56" s="4"/>
    </row>
    <row r="57" spans="1:9">
      <c r="A57" s="4"/>
      <c r="B57" s="11"/>
      <c r="C57" s="11"/>
      <c r="D57" s="11"/>
      <c r="E57" s="4"/>
      <c r="F57" s="4"/>
      <c r="G57" s="31"/>
      <c r="H57" s="4"/>
      <c r="I57" s="4"/>
    </row>
    <row r="58" spans="1:9">
      <c r="A58" s="4"/>
      <c r="B58" s="11"/>
      <c r="C58" s="11"/>
      <c r="D58" s="11"/>
      <c r="E58" s="4"/>
      <c r="F58" s="4"/>
      <c r="G58" s="31"/>
      <c r="H58" s="4"/>
      <c r="I58" s="4"/>
    </row>
    <row r="59" spans="1:9">
      <c r="A59" s="4"/>
      <c r="B59" s="11"/>
      <c r="C59" s="11"/>
      <c r="D59" s="11"/>
      <c r="E59" s="4"/>
      <c r="F59" s="4"/>
      <c r="G59" s="31"/>
      <c r="H59" s="4"/>
      <c r="I59" s="4"/>
    </row>
    <row r="60" spans="1:9">
      <c r="A60" s="4"/>
      <c r="B60" s="11"/>
      <c r="C60" s="11"/>
      <c r="D60" s="11"/>
      <c r="E60" s="4"/>
      <c r="F60" s="4"/>
      <c r="G60" s="31"/>
      <c r="H60" s="4"/>
      <c r="I60" s="4"/>
    </row>
    <row r="61" spans="1:9">
      <c r="A61" s="4"/>
      <c r="B61" s="11"/>
      <c r="C61" s="11"/>
      <c r="D61" s="11"/>
      <c r="E61" s="4"/>
      <c r="F61" s="4"/>
      <c r="G61" s="31"/>
      <c r="H61" s="4"/>
      <c r="I61" s="4"/>
    </row>
    <row r="62" spans="1:9">
      <c r="A62" s="4"/>
      <c r="B62" s="11"/>
      <c r="C62" s="11"/>
      <c r="D62" s="11"/>
      <c r="E62" s="4"/>
      <c r="F62" s="4"/>
      <c r="G62" s="31"/>
      <c r="H62" s="4"/>
      <c r="I62" s="4"/>
    </row>
    <row r="63" spans="1:9">
      <c r="A63" s="4"/>
      <c r="B63" s="11"/>
      <c r="C63" s="11"/>
      <c r="D63" s="11"/>
      <c r="E63" s="4"/>
      <c r="F63" s="4"/>
      <c r="G63" s="31"/>
      <c r="H63" s="4"/>
      <c r="I63" s="4"/>
    </row>
    <row r="64" spans="1:9">
      <c r="A64" s="4"/>
      <c r="B64" s="11"/>
      <c r="C64" s="11"/>
      <c r="D64" s="11"/>
      <c r="E64" s="4"/>
      <c r="F64" s="4"/>
      <c r="G64" s="31"/>
      <c r="H64" s="4"/>
      <c r="I64" s="4"/>
    </row>
    <row r="65" spans="1:9">
      <c r="A65" s="4"/>
      <c r="B65" s="11"/>
      <c r="C65" s="11"/>
      <c r="D65" s="11"/>
      <c r="E65" s="4"/>
      <c r="F65" s="4"/>
      <c r="G65" s="31"/>
      <c r="H65" s="4"/>
      <c r="I65" s="4"/>
    </row>
    <row r="66" spans="1:9">
      <c r="A66" s="4"/>
      <c r="B66" s="11"/>
      <c r="C66" s="11"/>
      <c r="D66" s="11"/>
      <c r="E66" s="4"/>
      <c r="F66" s="4"/>
      <c r="G66" s="31"/>
      <c r="H66" s="4"/>
      <c r="I66" s="4"/>
    </row>
    <row r="67" spans="1:9">
      <c r="A67" s="4"/>
      <c r="B67" s="11"/>
      <c r="C67" s="11"/>
      <c r="D67" s="11"/>
      <c r="E67" s="4"/>
      <c r="F67" s="4"/>
      <c r="G67" s="31"/>
      <c r="H67" s="4"/>
      <c r="I67" s="4"/>
    </row>
    <row r="68" spans="1:9">
      <c r="A68" s="4"/>
      <c r="B68" s="11"/>
      <c r="C68" s="11"/>
      <c r="D68" s="11"/>
      <c r="E68" s="4"/>
      <c r="F68" s="4"/>
      <c r="G68" s="31"/>
      <c r="H68" s="4"/>
      <c r="I68" s="4"/>
    </row>
    <row r="69" spans="1:9">
      <c r="A69" s="4"/>
      <c r="B69" s="11"/>
      <c r="C69" s="11"/>
      <c r="D69" s="11"/>
      <c r="E69" s="4"/>
      <c r="F69" s="4"/>
      <c r="G69" s="31"/>
      <c r="H69" s="4"/>
      <c r="I69" s="4"/>
    </row>
    <row r="70" spans="1:9">
      <c r="A70" s="4"/>
      <c r="B70" s="11"/>
      <c r="C70" s="11"/>
      <c r="D70" s="11"/>
      <c r="E70" s="4"/>
      <c r="F70" s="4"/>
      <c r="G70" s="31"/>
      <c r="H70" s="4"/>
      <c r="I70" s="4"/>
    </row>
    <row r="71" spans="1:9">
      <c r="A71" s="4"/>
      <c r="B71" s="11"/>
      <c r="C71" s="11"/>
      <c r="D71" s="11"/>
      <c r="E71" s="4"/>
      <c r="F71" s="4"/>
      <c r="G71" s="31"/>
      <c r="H71" s="4"/>
      <c r="I71" s="4"/>
    </row>
    <row r="72" spans="1:9">
      <c r="A72" s="4"/>
      <c r="B72" s="11"/>
      <c r="C72" s="11"/>
      <c r="D72" s="11"/>
      <c r="E72" s="4"/>
      <c r="F72" s="4"/>
      <c r="G72" s="31"/>
      <c r="H72" s="4"/>
      <c r="I72" s="4"/>
    </row>
    <row r="73" spans="1:9">
      <c r="A73" s="4"/>
      <c r="B73" s="11"/>
      <c r="C73" s="11"/>
      <c r="D73" s="11"/>
      <c r="E73" s="4"/>
      <c r="F73" s="4"/>
      <c r="G73" s="31"/>
      <c r="H73" s="4"/>
      <c r="I73" s="4"/>
    </row>
    <row r="74" spans="1:9">
      <c r="A74" s="4"/>
      <c r="B74" s="11"/>
      <c r="C74" s="11"/>
      <c r="D74" s="11"/>
      <c r="E74" s="4"/>
      <c r="F74" s="4"/>
      <c r="G74" s="31"/>
      <c r="H74" s="4"/>
      <c r="I74" s="4"/>
    </row>
    <row r="75" spans="1:9">
      <c r="A75" s="4"/>
      <c r="B75" s="11"/>
      <c r="C75" s="11"/>
      <c r="D75" s="11"/>
      <c r="E75" s="4"/>
      <c r="F75" s="4"/>
      <c r="G75" s="31"/>
      <c r="H75" s="4"/>
      <c r="I75" s="4"/>
    </row>
    <row r="76" spans="1:9">
      <c r="A76" s="4"/>
      <c r="B76" s="11"/>
      <c r="C76" s="11"/>
      <c r="D76" s="11"/>
      <c r="E76" s="4"/>
      <c r="F76" s="4"/>
      <c r="G76" s="31"/>
      <c r="H76" s="4"/>
      <c r="I76" s="4"/>
    </row>
    <row r="77" spans="1:9">
      <c r="A77" s="4"/>
      <c r="B77" s="11"/>
      <c r="C77" s="11"/>
      <c r="D77" s="11"/>
      <c r="E77" s="4"/>
      <c r="F77" s="4"/>
      <c r="G77" s="31"/>
      <c r="H77" s="4"/>
      <c r="I77" s="4"/>
    </row>
    <row r="78" spans="1:9">
      <c r="A78" s="4"/>
      <c r="B78" s="11"/>
      <c r="C78" s="11"/>
      <c r="D78" s="11"/>
      <c r="E78" s="4"/>
      <c r="F78" s="4"/>
      <c r="G78" s="31"/>
      <c r="H78" s="4"/>
      <c r="I78" s="4"/>
    </row>
    <row r="79" spans="1:9">
      <c r="A79" s="4"/>
      <c r="B79" s="11"/>
      <c r="C79" s="11"/>
      <c r="D79" s="11"/>
      <c r="E79" s="4"/>
      <c r="F79" s="4"/>
      <c r="G79" s="31"/>
      <c r="H79" s="4"/>
      <c r="I79" s="4"/>
    </row>
    <row r="80" spans="1:9">
      <c r="A80" s="4"/>
      <c r="B80" s="11"/>
      <c r="C80" s="11"/>
      <c r="D80" s="11"/>
      <c r="E80" s="4"/>
      <c r="F80" s="4"/>
      <c r="G80" s="31"/>
      <c r="H80" s="4"/>
      <c r="I80" s="4"/>
    </row>
    <row r="81" spans="1:9">
      <c r="A81" s="4"/>
      <c r="B81" s="11"/>
      <c r="C81" s="11"/>
      <c r="D81" s="11"/>
      <c r="E81" s="4"/>
      <c r="F81" s="4"/>
      <c r="G81" s="31"/>
      <c r="H81" s="4"/>
      <c r="I81" s="4"/>
    </row>
    <row r="82" spans="1:9">
      <c r="A82" s="4"/>
      <c r="B82" s="11"/>
      <c r="C82" s="11"/>
      <c r="D82" s="11"/>
      <c r="E82" s="4"/>
      <c r="F82" s="4"/>
      <c r="G82" s="31"/>
      <c r="H82" s="4"/>
      <c r="I82" s="4"/>
    </row>
    <row r="83" spans="1:9">
      <c r="A83" s="4"/>
      <c r="B83" s="11"/>
      <c r="C83" s="11"/>
      <c r="D83" s="11"/>
      <c r="E83" s="4"/>
      <c r="F83" s="4"/>
      <c r="G83" s="31"/>
      <c r="H83" s="4"/>
      <c r="I83" s="4"/>
    </row>
    <row r="84" spans="1:9">
      <c r="A84" s="4"/>
      <c r="B84" s="11"/>
      <c r="C84" s="11"/>
      <c r="D84" s="11"/>
      <c r="E84" s="4"/>
      <c r="F84" s="4"/>
      <c r="G84" s="31"/>
      <c r="H84" s="4"/>
      <c r="I84" s="4"/>
    </row>
    <row r="85" spans="1:9">
      <c r="A85" s="4"/>
      <c r="B85" s="11"/>
      <c r="C85" s="11"/>
      <c r="D85" s="11"/>
      <c r="E85" s="4"/>
      <c r="F85" s="4"/>
      <c r="G85" s="31"/>
      <c r="H85" s="4"/>
      <c r="I85" s="4"/>
    </row>
    <row r="86" spans="1:9">
      <c r="A86" s="4"/>
      <c r="B86" s="11"/>
      <c r="C86" s="11"/>
      <c r="D86" s="11"/>
      <c r="E86" s="4"/>
      <c r="F86" s="4"/>
      <c r="G86" s="31"/>
      <c r="H86" s="4"/>
      <c r="I86" s="4"/>
    </row>
    <row r="87" spans="1:9">
      <c r="A87" s="4"/>
      <c r="B87" s="11"/>
      <c r="C87" s="11"/>
      <c r="D87" s="11"/>
      <c r="E87" s="4"/>
      <c r="F87" s="4"/>
      <c r="G87" s="31"/>
      <c r="H87" s="4"/>
      <c r="I87" s="4"/>
    </row>
    <row r="88" spans="1:9">
      <c r="A88" s="4"/>
      <c r="B88" s="11"/>
      <c r="C88" s="11"/>
      <c r="D88" s="11"/>
      <c r="E88" s="4"/>
      <c r="F88" s="4"/>
      <c r="G88" s="31"/>
      <c r="H88" s="4"/>
      <c r="I88" s="4"/>
    </row>
    <row r="89" spans="1:9">
      <c r="A89" s="4"/>
      <c r="B89" s="11"/>
      <c r="C89" s="11"/>
      <c r="D89" s="11"/>
      <c r="E89" s="4"/>
      <c r="F89" s="4"/>
      <c r="G89" s="31"/>
      <c r="H89" s="4"/>
      <c r="I89" s="4"/>
    </row>
    <row r="90" spans="1:9">
      <c r="A90" s="4"/>
      <c r="B90" s="11"/>
      <c r="C90" s="11"/>
      <c r="D90" s="11"/>
      <c r="E90" s="4"/>
      <c r="F90" s="4"/>
      <c r="G90" s="31"/>
      <c r="H90" s="4"/>
      <c r="I90" s="4"/>
    </row>
    <row r="91" spans="1:9">
      <c r="A91" s="4"/>
      <c r="B91" s="11"/>
      <c r="C91" s="11"/>
      <c r="D91" s="11"/>
      <c r="E91" s="4"/>
      <c r="F91" s="4"/>
      <c r="G91" s="31"/>
      <c r="H91" s="4"/>
      <c r="I91" s="4"/>
    </row>
    <row r="92" spans="1:9">
      <c r="A92" s="4"/>
      <c r="B92" s="11"/>
      <c r="C92" s="11"/>
      <c r="D92" s="11"/>
      <c r="E92" s="4"/>
      <c r="F92" s="4"/>
      <c r="G92" s="31"/>
      <c r="H92" s="4"/>
      <c r="I92" s="4"/>
    </row>
    <row r="93" spans="1:9">
      <c r="A93" s="4"/>
      <c r="B93" s="11"/>
      <c r="C93" s="11"/>
      <c r="D93" s="11"/>
      <c r="E93" s="4"/>
      <c r="F93" s="4"/>
      <c r="G93" s="31"/>
      <c r="H93" s="4"/>
      <c r="I93" s="4"/>
    </row>
    <row r="94" spans="1:9">
      <c r="A94" s="4"/>
      <c r="B94" s="11"/>
      <c r="C94" s="11"/>
      <c r="D94" s="11"/>
      <c r="E94" s="4"/>
      <c r="F94" s="4"/>
      <c r="G94" s="31"/>
      <c r="H94" s="4"/>
      <c r="I94" s="4"/>
    </row>
    <row r="95" spans="1:9">
      <c r="A95" s="4"/>
      <c r="B95" s="11"/>
      <c r="C95" s="11"/>
      <c r="D95" s="11"/>
      <c r="E95" s="4"/>
      <c r="F95" s="4"/>
      <c r="G95" s="31"/>
      <c r="H95" s="4"/>
      <c r="I95" s="4"/>
    </row>
    <row r="96" spans="1:9">
      <c r="A96" s="4"/>
      <c r="B96" s="11"/>
      <c r="C96" s="11"/>
      <c r="D96" s="11"/>
      <c r="E96" s="4"/>
      <c r="F96" s="4"/>
      <c r="G96" s="31"/>
      <c r="H96" s="4"/>
      <c r="I96" s="4"/>
    </row>
    <row r="97" spans="1:9">
      <c r="A97" s="4"/>
      <c r="B97" s="11"/>
      <c r="C97" s="11"/>
      <c r="D97" s="11"/>
      <c r="E97" s="4"/>
      <c r="F97" s="4"/>
      <c r="G97" s="31"/>
      <c r="H97" s="4"/>
      <c r="I97" s="4"/>
    </row>
    <row r="98" spans="1:9">
      <c r="A98" s="4"/>
      <c r="B98" s="11"/>
      <c r="C98" s="11"/>
      <c r="D98" s="11"/>
      <c r="E98" s="4"/>
      <c r="F98" s="4"/>
      <c r="G98" s="31"/>
      <c r="H98" s="4"/>
      <c r="I98" s="4"/>
    </row>
    <row r="99" spans="1:9">
      <c r="A99" s="4"/>
      <c r="B99" s="11"/>
      <c r="C99" s="11"/>
      <c r="D99" s="11"/>
      <c r="E99" s="4"/>
      <c r="F99" s="4"/>
      <c r="G99" s="31"/>
      <c r="H99" s="4"/>
      <c r="I99" s="4"/>
    </row>
    <row r="100" spans="1:9">
      <c r="A100" s="4"/>
      <c r="B100" s="11"/>
      <c r="C100" s="11"/>
      <c r="D100" s="11"/>
      <c r="E100" s="4"/>
      <c r="F100" s="4"/>
      <c r="G100" s="31"/>
      <c r="H100" s="4"/>
      <c r="I100" s="4"/>
    </row>
    <row r="101" spans="1:9">
      <c r="A101" s="4"/>
      <c r="B101" s="11"/>
      <c r="C101" s="11"/>
      <c r="D101" s="11"/>
      <c r="E101" s="4"/>
      <c r="F101" s="4"/>
      <c r="G101" s="31"/>
      <c r="H101" s="4"/>
      <c r="I101" s="4"/>
    </row>
    <row r="102" spans="1:9">
      <c r="A102" s="4"/>
      <c r="B102" s="11"/>
      <c r="C102" s="11"/>
      <c r="D102" s="11"/>
      <c r="E102" s="4"/>
      <c r="F102" s="4"/>
      <c r="G102" s="31"/>
      <c r="H102" s="4"/>
      <c r="I102" s="4"/>
    </row>
    <row r="103" spans="1:9">
      <c r="A103" s="4"/>
      <c r="B103" s="11"/>
      <c r="C103" s="11"/>
      <c r="D103" s="11"/>
      <c r="E103" s="4"/>
      <c r="F103" s="4"/>
      <c r="G103" s="31"/>
      <c r="H103" s="4"/>
      <c r="I103" s="4"/>
    </row>
    <row r="104" spans="1:9">
      <c r="A104" s="4"/>
      <c r="B104" s="11"/>
      <c r="C104" s="11"/>
      <c r="D104" s="11"/>
      <c r="E104" s="4"/>
      <c r="F104" s="4"/>
      <c r="G104" s="31"/>
      <c r="H104" s="4"/>
      <c r="I104" s="4"/>
    </row>
    <row r="105" spans="1:9">
      <c r="A105" s="4"/>
      <c r="B105" s="11"/>
      <c r="C105" s="11"/>
      <c r="D105" s="11"/>
      <c r="E105" s="4"/>
      <c r="F105" s="4"/>
      <c r="G105" s="31"/>
      <c r="H105" s="4"/>
      <c r="I105" s="4"/>
    </row>
    <row r="106" spans="1:9">
      <c r="A106" s="4"/>
      <c r="B106" s="11"/>
      <c r="C106" s="11"/>
      <c r="D106" s="11"/>
      <c r="E106" s="4"/>
      <c r="F106" s="4"/>
      <c r="G106" s="31"/>
      <c r="H106" s="4"/>
      <c r="I106" s="4"/>
    </row>
    <row r="107" spans="1:9">
      <c r="A107" s="4"/>
      <c r="B107" s="11"/>
      <c r="C107" s="11"/>
      <c r="D107" s="11"/>
      <c r="E107" s="4"/>
      <c r="F107" s="4"/>
      <c r="G107" s="31"/>
      <c r="H107" s="4"/>
      <c r="I107" s="4"/>
    </row>
    <row r="108" spans="1:9">
      <c r="A108" s="4"/>
      <c r="B108" s="11"/>
      <c r="C108" s="11"/>
      <c r="D108" s="11"/>
      <c r="E108" s="4"/>
      <c r="F108" s="4"/>
      <c r="G108" s="31"/>
      <c r="H108" s="4"/>
      <c r="I108" s="4"/>
    </row>
    <row r="109" spans="1:9">
      <c r="A109" s="4"/>
      <c r="B109" s="11"/>
      <c r="C109" s="11"/>
      <c r="D109" s="11"/>
      <c r="E109" s="4"/>
      <c r="F109" s="4"/>
      <c r="G109" s="31"/>
      <c r="H109" s="4"/>
      <c r="I109" s="4"/>
    </row>
    <row r="110" spans="1:9">
      <c r="A110" s="22"/>
      <c r="B110" s="25"/>
      <c r="C110" s="25"/>
      <c r="D110" s="25"/>
      <c r="E110" s="22"/>
      <c r="F110" s="22"/>
      <c r="G110" s="33"/>
      <c r="H110" s="4"/>
      <c r="I110" s="4"/>
    </row>
    <row r="111" spans="1:9">
      <c r="A111" s="4"/>
      <c r="B111" s="11"/>
      <c r="C111" s="11"/>
      <c r="D111" s="11"/>
      <c r="E111" s="4"/>
      <c r="F111" s="4"/>
      <c r="G111" s="31"/>
      <c r="H111" s="4"/>
      <c r="I111" s="4"/>
    </row>
    <row r="112" spans="1:9">
      <c r="A112" s="4"/>
      <c r="B112" s="11"/>
      <c r="C112" s="11"/>
      <c r="D112" s="11"/>
      <c r="E112" s="4"/>
      <c r="F112" s="4"/>
      <c r="G112" s="31"/>
      <c r="H112" s="4"/>
      <c r="I112" s="4"/>
    </row>
    <row r="113" spans="1:9">
      <c r="A113" s="4"/>
      <c r="B113" s="11"/>
      <c r="C113" s="11"/>
      <c r="D113" s="11"/>
      <c r="E113" s="4"/>
      <c r="F113" s="4"/>
      <c r="G113" s="31"/>
      <c r="H113" s="4"/>
      <c r="I113" s="4"/>
    </row>
    <row r="114" spans="1:9">
      <c r="A114" s="4"/>
      <c r="B114" s="11"/>
      <c r="C114" s="11"/>
      <c r="D114" s="11"/>
      <c r="E114" s="4"/>
      <c r="F114" s="4"/>
      <c r="G114" s="31"/>
      <c r="H114" s="4"/>
      <c r="I114" s="4"/>
    </row>
    <row r="115" spans="1:9">
      <c r="A115" s="22"/>
      <c r="B115" s="25"/>
      <c r="C115" s="25"/>
      <c r="D115" s="25"/>
      <c r="E115" s="22"/>
      <c r="F115" s="22"/>
      <c r="G115" s="33"/>
      <c r="H115" s="4"/>
      <c r="I115" s="4"/>
    </row>
    <row r="116" spans="1:9">
      <c r="A116" s="22"/>
      <c r="B116" s="25"/>
      <c r="C116" s="25"/>
      <c r="D116" s="25"/>
      <c r="E116" s="22"/>
      <c r="F116" s="22"/>
      <c r="G116" s="33"/>
      <c r="H116" s="4"/>
      <c r="I116" s="4"/>
    </row>
    <row r="117" spans="1:9">
      <c r="A117" s="22"/>
      <c r="B117" s="25"/>
      <c r="C117" s="25"/>
      <c r="D117" s="25"/>
      <c r="E117" s="22"/>
      <c r="F117" s="22"/>
      <c r="G117" s="33"/>
      <c r="H117" s="4"/>
      <c r="I117" s="4"/>
    </row>
    <row r="118" spans="1:9">
      <c r="A118" s="4"/>
      <c r="B118" s="11"/>
      <c r="C118" s="11"/>
      <c r="D118" s="11"/>
      <c r="E118" s="4"/>
      <c r="F118" s="4"/>
      <c r="G118" s="31"/>
      <c r="H118" s="4"/>
      <c r="I118" s="4"/>
    </row>
    <row r="119" spans="1:9">
      <c r="A119" s="4"/>
      <c r="B119" s="11"/>
      <c r="C119" s="11"/>
      <c r="D119" s="11"/>
      <c r="E119" s="4"/>
      <c r="F119" s="4"/>
      <c r="G119" s="31"/>
      <c r="H119" s="4"/>
      <c r="I119" s="4"/>
    </row>
    <row r="120" spans="1:9">
      <c r="A120" s="4"/>
      <c r="B120" s="11"/>
      <c r="C120" s="11"/>
      <c r="D120" s="11"/>
      <c r="E120" s="4"/>
      <c r="F120" s="4"/>
      <c r="G120" s="31"/>
      <c r="H120" s="4"/>
      <c r="I120" s="4"/>
    </row>
    <row r="121" spans="1:9">
      <c r="A121" s="4"/>
      <c r="B121" s="11"/>
      <c r="C121" s="11"/>
      <c r="D121" s="11"/>
      <c r="E121" s="4"/>
      <c r="F121" s="4"/>
      <c r="G121" s="31"/>
      <c r="H121" s="4"/>
      <c r="I121" s="4"/>
    </row>
    <row r="122" spans="1:9">
      <c r="A122" s="4"/>
      <c r="B122" s="11"/>
      <c r="C122" s="11"/>
      <c r="D122" s="11"/>
      <c r="E122" s="4"/>
      <c r="F122" s="4"/>
      <c r="G122" s="31"/>
      <c r="H122" s="4"/>
      <c r="I122" s="4"/>
    </row>
    <row r="123" spans="1:9">
      <c r="A123" s="4"/>
      <c r="B123" s="11"/>
      <c r="C123" s="11"/>
      <c r="D123" s="11"/>
      <c r="E123" s="4"/>
      <c r="F123" s="4"/>
      <c r="G123" s="31"/>
      <c r="H123" s="4"/>
      <c r="I123" s="4"/>
    </row>
    <row r="124" spans="1:9">
      <c r="A124" s="4"/>
      <c r="B124" s="11"/>
      <c r="C124" s="11"/>
      <c r="D124" s="11"/>
      <c r="E124" s="4"/>
      <c r="F124" s="4"/>
      <c r="G124" s="31"/>
      <c r="H124" s="4"/>
      <c r="I124" s="4"/>
    </row>
    <row r="125" spans="1:9">
      <c r="A125" s="4"/>
      <c r="B125" s="11"/>
      <c r="C125" s="11"/>
      <c r="D125" s="11"/>
      <c r="E125" s="4"/>
      <c r="F125" s="4"/>
      <c r="G125" s="31"/>
      <c r="H125" s="4"/>
      <c r="I125" s="4"/>
    </row>
    <row r="126" spans="1:9">
      <c r="A126" s="4"/>
      <c r="B126" s="11"/>
      <c r="C126" s="11"/>
      <c r="D126" s="11"/>
      <c r="E126" s="4"/>
      <c r="F126" s="4"/>
      <c r="G126" s="31"/>
      <c r="H126" s="4"/>
      <c r="I126" s="4"/>
    </row>
    <row r="127" spans="1:9">
      <c r="A127" s="4"/>
      <c r="B127" s="12"/>
      <c r="C127" s="11"/>
      <c r="D127" s="11"/>
      <c r="E127" s="4"/>
      <c r="F127" s="4"/>
      <c r="G127" s="31"/>
      <c r="H127" s="4"/>
      <c r="I127" s="4"/>
    </row>
    <row r="128" spans="1:9">
      <c r="A128" s="4"/>
      <c r="B128" s="13"/>
      <c r="C128" s="11"/>
      <c r="D128" s="11"/>
      <c r="E128" s="4"/>
      <c r="F128" s="4"/>
      <c r="G128" s="31"/>
      <c r="H128" s="4"/>
      <c r="I128" s="4"/>
    </row>
    <row r="129" spans="1:9">
      <c r="A129" s="4"/>
      <c r="B129" s="11"/>
      <c r="C129" s="11"/>
      <c r="D129" s="11"/>
      <c r="E129" s="4"/>
      <c r="F129" s="4"/>
      <c r="G129" s="31"/>
      <c r="H129" s="4"/>
      <c r="I129" s="4"/>
    </row>
    <row r="130" spans="1:9">
      <c r="A130" s="4"/>
      <c r="B130" s="11"/>
      <c r="C130" s="11"/>
      <c r="D130" s="11"/>
      <c r="E130" s="4"/>
      <c r="F130" s="4"/>
      <c r="G130" s="31"/>
      <c r="H130" s="4"/>
      <c r="I130" s="4"/>
    </row>
    <row r="131" spans="1:9">
      <c r="A131" s="4"/>
      <c r="B131" s="11"/>
      <c r="C131" s="11"/>
      <c r="D131" s="11"/>
      <c r="E131" s="4"/>
      <c r="F131" s="4"/>
      <c r="G131" s="31"/>
      <c r="H131" s="4"/>
      <c r="I131" s="4"/>
    </row>
    <row r="132" spans="1:9">
      <c r="A132" s="4"/>
      <c r="B132" s="11"/>
      <c r="C132" s="11"/>
      <c r="D132" s="11"/>
      <c r="E132" s="4"/>
      <c r="F132" s="4"/>
      <c r="G132" s="31"/>
      <c r="H132" s="4"/>
      <c r="I132" s="4"/>
    </row>
    <row r="133" spans="1:9">
      <c r="A133" s="4"/>
      <c r="B133" s="11"/>
      <c r="C133" s="11"/>
      <c r="D133" s="11"/>
      <c r="E133" s="4"/>
      <c r="F133" s="4"/>
      <c r="G133" s="31"/>
      <c r="H133" s="4"/>
      <c r="I133" s="4"/>
    </row>
    <row r="134" spans="1:9">
      <c r="A134" s="4"/>
      <c r="B134" s="11"/>
      <c r="C134" s="11"/>
      <c r="D134" s="11"/>
      <c r="E134" s="4"/>
      <c r="F134" s="4"/>
      <c r="G134" s="31"/>
      <c r="H134" s="4"/>
      <c r="I134" s="4"/>
    </row>
    <row r="135" spans="1:9">
      <c r="A135" s="4"/>
      <c r="B135" s="11"/>
      <c r="C135" s="11"/>
      <c r="D135" s="11"/>
      <c r="E135" s="4"/>
      <c r="F135" s="4"/>
      <c r="G135" s="31"/>
      <c r="H135" s="4"/>
      <c r="I135" s="4"/>
    </row>
    <row r="136" spans="1:9">
      <c r="A136" s="4"/>
      <c r="B136" s="11"/>
      <c r="C136" s="11"/>
      <c r="D136" s="11"/>
      <c r="E136" s="4"/>
      <c r="F136" s="4"/>
      <c r="G136" s="31"/>
      <c r="H136" s="4"/>
      <c r="I136" s="4"/>
    </row>
    <row r="137" spans="1:9">
      <c r="A137" s="4"/>
      <c r="B137" s="11"/>
      <c r="C137" s="11"/>
      <c r="D137" s="11"/>
      <c r="E137" s="4"/>
      <c r="F137" s="4"/>
      <c r="G137" s="31"/>
      <c r="H137" s="4"/>
      <c r="I137" s="4"/>
    </row>
    <row r="138" spans="1:9">
      <c r="A138" s="4"/>
      <c r="B138" s="11"/>
      <c r="C138" s="11"/>
      <c r="D138" s="11"/>
      <c r="E138" s="4"/>
      <c r="F138" s="4"/>
      <c r="G138" s="31"/>
      <c r="H138" s="4"/>
      <c r="I138" s="4"/>
    </row>
    <row r="139" spans="1:9">
      <c r="A139" s="4"/>
      <c r="B139" s="11"/>
      <c r="C139" s="11"/>
      <c r="D139" s="11"/>
      <c r="E139" s="4"/>
      <c r="F139" s="4"/>
      <c r="G139" s="31"/>
      <c r="H139" s="4"/>
      <c r="I139" s="4"/>
    </row>
    <row r="140" spans="1:9">
      <c r="A140" s="4"/>
      <c r="B140" s="11"/>
      <c r="C140" s="11"/>
      <c r="D140" s="11"/>
      <c r="E140" s="4"/>
      <c r="F140" s="4"/>
      <c r="G140" s="31"/>
      <c r="H140" s="4"/>
      <c r="I140" s="4"/>
    </row>
    <row r="141" spans="1:9">
      <c r="A141" s="4"/>
      <c r="B141" s="11"/>
      <c r="C141" s="11"/>
      <c r="D141" s="11"/>
      <c r="E141" s="4"/>
      <c r="F141" s="4"/>
      <c r="G141" s="31"/>
      <c r="H141" s="4"/>
      <c r="I141" s="4"/>
    </row>
    <row r="142" spans="1:9">
      <c r="A142" s="4"/>
      <c r="B142" s="11"/>
      <c r="C142" s="11"/>
      <c r="D142" s="11"/>
      <c r="E142" s="4"/>
      <c r="F142" s="4"/>
      <c r="G142" s="31"/>
      <c r="H142" s="4"/>
      <c r="I142" s="4"/>
    </row>
    <row r="143" spans="1:9">
      <c r="A143" s="4"/>
      <c r="B143" s="11"/>
      <c r="C143" s="11"/>
      <c r="D143" s="11"/>
      <c r="E143" s="4"/>
      <c r="F143" s="4"/>
      <c r="G143" s="31"/>
      <c r="H143" s="4"/>
      <c r="I143" s="4"/>
    </row>
    <row r="144" spans="1:9">
      <c r="A144" s="4"/>
      <c r="B144" s="11"/>
      <c r="C144" s="11"/>
      <c r="D144" s="11"/>
      <c r="E144" s="4"/>
      <c r="F144" s="4"/>
      <c r="G144" s="31"/>
      <c r="H144" s="4"/>
      <c r="I144" s="4"/>
    </row>
    <row r="145" spans="1:9">
      <c r="A145" s="4"/>
      <c r="B145" s="11"/>
      <c r="C145" s="11"/>
      <c r="D145" s="11"/>
      <c r="E145" s="4"/>
      <c r="F145" s="4"/>
      <c r="G145" s="31"/>
      <c r="H145" s="4"/>
      <c r="I145" s="4"/>
    </row>
    <row r="146" spans="1:9">
      <c r="A146" s="4"/>
      <c r="B146" s="11"/>
      <c r="C146" s="11"/>
      <c r="D146" s="11"/>
      <c r="E146" s="4"/>
      <c r="F146" s="4"/>
      <c r="G146" s="31"/>
      <c r="H146" s="4"/>
      <c r="I146" s="4"/>
    </row>
    <row r="147" spans="1:9">
      <c r="A147" s="4"/>
      <c r="B147" s="11"/>
      <c r="C147" s="11"/>
      <c r="D147" s="11"/>
      <c r="E147" s="4"/>
      <c r="F147" s="4"/>
      <c r="G147" s="31"/>
      <c r="H147" s="4"/>
      <c r="I147" s="4"/>
    </row>
    <row r="148" spans="1:9">
      <c r="A148" s="4"/>
      <c r="B148" s="11"/>
      <c r="C148" s="11"/>
      <c r="D148" s="11"/>
      <c r="E148" s="4"/>
      <c r="F148" s="4"/>
      <c r="G148" s="31"/>
      <c r="H148" s="4"/>
      <c r="I148" s="4"/>
    </row>
    <row r="149" spans="1:9">
      <c r="A149" s="4"/>
      <c r="B149" s="11"/>
      <c r="C149" s="11"/>
      <c r="D149" s="11"/>
      <c r="E149" s="4"/>
      <c r="F149" s="4"/>
      <c r="G149" s="31"/>
      <c r="H149" s="4"/>
      <c r="I149" s="4"/>
    </row>
    <row r="150" spans="1:9">
      <c r="A150" s="4"/>
      <c r="B150" s="11"/>
      <c r="C150" s="11"/>
      <c r="D150" s="11"/>
      <c r="E150" s="4"/>
      <c r="F150" s="4"/>
      <c r="G150" s="31"/>
      <c r="H150" s="4"/>
      <c r="I150" s="4"/>
    </row>
    <row r="151" spans="1:9">
      <c r="A151" s="4"/>
      <c r="B151" s="11"/>
      <c r="C151" s="11"/>
      <c r="D151" s="11"/>
      <c r="E151" s="4"/>
      <c r="F151" s="4"/>
      <c r="G151" s="31"/>
      <c r="H151" s="4"/>
      <c r="I151" s="4"/>
    </row>
    <row r="152" spans="1:9">
      <c r="A152" s="4"/>
      <c r="B152" s="11"/>
      <c r="C152" s="11"/>
      <c r="D152" s="11"/>
      <c r="E152" s="4"/>
      <c r="F152" s="4"/>
      <c r="G152" s="31"/>
      <c r="H152" s="4"/>
      <c r="I152" s="4"/>
    </row>
    <row r="153" spans="1:9">
      <c r="A153" s="4"/>
      <c r="B153" s="11"/>
      <c r="C153" s="11"/>
      <c r="D153" s="11"/>
      <c r="E153" s="4"/>
      <c r="F153" s="4"/>
      <c r="G153" s="31"/>
      <c r="H153" s="4"/>
      <c r="I153" s="4"/>
    </row>
    <row r="154" spans="1:9">
      <c r="A154" s="4"/>
      <c r="B154" s="11"/>
      <c r="C154" s="11"/>
      <c r="D154" s="11"/>
      <c r="E154" s="4"/>
      <c r="F154" s="4"/>
      <c r="G154" s="31"/>
      <c r="H154" s="4"/>
      <c r="I154" s="4"/>
    </row>
    <row r="155" spans="1:9">
      <c r="A155" s="4"/>
      <c r="B155" s="11"/>
      <c r="C155" s="11"/>
      <c r="D155" s="11"/>
      <c r="E155" s="4"/>
      <c r="F155" s="4"/>
      <c r="G155" s="31"/>
      <c r="H155" s="4"/>
      <c r="I155" s="4"/>
    </row>
    <row r="156" spans="1:9">
      <c r="A156" s="4"/>
      <c r="B156" s="11"/>
      <c r="C156" s="11"/>
      <c r="D156" s="11"/>
      <c r="E156" s="4"/>
      <c r="F156" s="4"/>
      <c r="G156" s="31"/>
      <c r="H156" s="4"/>
      <c r="I156" s="4"/>
    </row>
    <row r="157" spans="1:9">
      <c r="A157" s="4"/>
      <c r="B157" s="11"/>
      <c r="C157" s="11"/>
      <c r="D157" s="11"/>
      <c r="E157" s="4"/>
      <c r="F157" s="4"/>
      <c r="G157" s="31"/>
      <c r="H157" s="4"/>
      <c r="I157" s="4"/>
    </row>
    <row r="158" spans="1:9">
      <c r="A158" s="4"/>
      <c r="B158" s="11"/>
      <c r="C158" s="11"/>
      <c r="D158" s="11"/>
      <c r="E158" s="4"/>
      <c r="F158" s="4"/>
      <c r="G158" s="31"/>
      <c r="H158" s="4"/>
      <c r="I158" s="4"/>
    </row>
    <row r="159" spans="1:9">
      <c r="A159" s="4"/>
      <c r="B159" s="11"/>
      <c r="C159" s="11"/>
      <c r="D159" s="11"/>
      <c r="E159" s="4"/>
      <c r="F159" s="4"/>
      <c r="G159" s="31"/>
      <c r="H159" s="4"/>
      <c r="I159" s="4"/>
    </row>
    <row r="160" spans="1:9">
      <c r="A160" s="4"/>
      <c r="B160" s="11"/>
      <c r="C160" s="11"/>
      <c r="D160" s="11"/>
      <c r="E160" s="4"/>
      <c r="F160" s="4"/>
      <c r="G160" s="31"/>
      <c r="H160" s="4"/>
      <c r="I160" s="4"/>
    </row>
    <row r="161" spans="1:9">
      <c r="A161" s="4"/>
      <c r="B161" s="11"/>
      <c r="C161" s="11"/>
      <c r="D161" s="11"/>
      <c r="E161" s="4"/>
      <c r="F161" s="4"/>
      <c r="G161" s="31"/>
      <c r="H161" s="4"/>
      <c r="I161" s="4"/>
    </row>
    <row r="162" spans="1:9">
      <c r="A162" s="4"/>
      <c r="B162" s="11"/>
      <c r="C162" s="11"/>
      <c r="D162" s="11"/>
      <c r="E162" s="4"/>
      <c r="F162" s="4"/>
      <c r="G162" s="31"/>
      <c r="H162" s="4"/>
      <c r="I162" s="4"/>
    </row>
    <row r="163" spans="1:9">
      <c r="A163" s="4"/>
      <c r="B163" s="11"/>
      <c r="C163" s="11"/>
      <c r="D163" s="11"/>
      <c r="E163" s="4"/>
      <c r="F163" s="4"/>
      <c r="G163" s="31"/>
      <c r="H163" s="4"/>
      <c r="I163" s="4"/>
    </row>
    <row r="164" spans="1:9">
      <c r="A164" s="4"/>
      <c r="B164" s="11"/>
      <c r="C164" s="11"/>
      <c r="D164" s="11"/>
      <c r="E164" s="4"/>
      <c r="F164" s="4"/>
      <c r="G164" s="31"/>
      <c r="H164" s="4"/>
      <c r="I164" s="4"/>
    </row>
    <row r="165" spans="1:9">
      <c r="A165" s="4"/>
      <c r="B165" s="11"/>
      <c r="C165" s="11"/>
      <c r="D165" s="11"/>
      <c r="E165" s="4"/>
      <c r="F165" s="4"/>
      <c r="G165" s="31"/>
      <c r="H165" s="4"/>
      <c r="I165" s="4"/>
    </row>
    <row r="166" spans="1:9">
      <c r="A166" s="22"/>
      <c r="B166" s="25"/>
      <c r="C166" s="25"/>
      <c r="D166" s="25"/>
      <c r="E166" s="22"/>
      <c r="F166" s="22"/>
      <c r="G166" s="33"/>
      <c r="H166" s="4"/>
      <c r="I166" s="4"/>
    </row>
    <row r="167" spans="1:9">
      <c r="A167" s="4"/>
      <c r="B167" s="11"/>
      <c r="C167" s="11"/>
      <c r="D167" s="11"/>
      <c r="E167" s="4"/>
      <c r="F167" s="4"/>
      <c r="G167" s="31"/>
      <c r="H167" s="4"/>
      <c r="I167" s="4"/>
    </row>
    <row r="168" spans="1:9">
      <c r="A168" s="4"/>
      <c r="B168" s="12"/>
      <c r="C168" s="11"/>
      <c r="D168" s="11"/>
      <c r="E168" s="4"/>
      <c r="F168" s="4"/>
      <c r="G168" s="31"/>
      <c r="H168" s="4"/>
      <c r="I168" s="4"/>
    </row>
    <row r="169" spans="1:9">
      <c r="A169" s="4"/>
      <c r="B169" s="11"/>
      <c r="C169" s="11"/>
      <c r="D169" s="11"/>
      <c r="E169" s="4"/>
      <c r="F169" s="4"/>
      <c r="G169" s="31"/>
      <c r="H169" s="4"/>
      <c r="I169" s="4"/>
    </row>
    <row r="170" spans="1:9">
      <c r="A170" s="4"/>
      <c r="B170" s="11"/>
      <c r="C170" s="11"/>
      <c r="D170" s="11"/>
      <c r="E170" s="4"/>
      <c r="F170" s="4"/>
      <c r="G170" s="31"/>
      <c r="H170" s="4"/>
      <c r="I170" s="4"/>
    </row>
    <row r="171" spans="1:9">
      <c r="A171" s="4"/>
      <c r="B171" s="11"/>
      <c r="C171" s="11"/>
      <c r="D171" s="11"/>
      <c r="E171" s="4"/>
      <c r="F171" s="4"/>
      <c r="G171" s="31"/>
      <c r="H171" s="4"/>
      <c r="I171" s="4"/>
    </row>
    <row r="172" spans="1:9">
      <c r="A172" s="4"/>
      <c r="B172" s="11"/>
      <c r="C172" s="11"/>
      <c r="D172" s="11"/>
      <c r="E172" s="4"/>
      <c r="F172" s="4"/>
      <c r="G172" s="31"/>
      <c r="H172" s="4"/>
      <c r="I172" s="4"/>
    </row>
    <row r="173" spans="1:9">
      <c r="A173" s="4"/>
      <c r="B173" s="11"/>
      <c r="C173" s="11"/>
      <c r="D173" s="11"/>
      <c r="E173" s="4"/>
      <c r="F173" s="4"/>
      <c r="G173" s="31"/>
      <c r="H173" s="4"/>
      <c r="I173" s="4"/>
    </row>
    <row r="174" spans="1:9">
      <c r="A174" s="4"/>
      <c r="B174" s="11"/>
      <c r="C174" s="11"/>
      <c r="D174" s="11"/>
      <c r="E174" s="4"/>
      <c r="F174" s="4"/>
      <c r="G174" s="31"/>
      <c r="H174" s="4"/>
      <c r="I174" s="4"/>
    </row>
    <row r="175" spans="1:9">
      <c r="A175" s="4"/>
      <c r="B175" s="11"/>
      <c r="C175" s="11"/>
      <c r="D175" s="11"/>
      <c r="E175" s="4"/>
      <c r="F175" s="4"/>
      <c r="G175" s="31"/>
      <c r="H175" s="4"/>
      <c r="I175" s="4"/>
    </row>
    <row r="176" spans="1:9">
      <c r="A176" s="4"/>
      <c r="B176" s="11"/>
      <c r="C176" s="11"/>
      <c r="D176" s="11"/>
      <c r="E176" s="4"/>
      <c r="F176" s="4"/>
      <c r="G176" s="31"/>
      <c r="H176" s="4"/>
      <c r="I176" s="4"/>
    </row>
    <row r="177" spans="1:9">
      <c r="A177" s="4"/>
      <c r="B177" s="11"/>
      <c r="C177" s="11"/>
      <c r="D177" s="11"/>
      <c r="E177" s="4"/>
      <c r="F177" s="4"/>
      <c r="G177" s="31"/>
      <c r="H177" s="4"/>
      <c r="I177" s="4"/>
    </row>
    <row r="178" spans="1:9">
      <c r="A178" s="4"/>
      <c r="B178" s="11"/>
      <c r="C178" s="11"/>
      <c r="D178" s="11"/>
      <c r="E178" s="4"/>
      <c r="F178" s="4"/>
      <c r="G178" s="31"/>
      <c r="H178" s="4"/>
      <c r="I178" s="4"/>
    </row>
    <row r="179" spans="1:9">
      <c r="A179" s="4"/>
      <c r="B179" s="11"/>
      <c r="C179" s="11"/>
      <c r="D179" s="11"/>
      <c r="E179" s="4"/>
      <c r="F179" s="4"/>
      <c r="G179" s="31"/>
      <c r="H179" s="4"/>
      <c r="I179" s="4"/>
    </row>
    <row r="180" spans="1:9">
      <c r="A180" s="4"/>
      <c r="B180" s="11"/>
      <c r="C180" s="11"/>
      <c r="D180" s="11"/>
      <c r="E180" s="4"/>
      <c r="F180" s="4"/>
      <c r="G180" s="31"/>
      <c r="H180" s="4"/>
      <c r="I180" s="4"/>
    </row>
    <row r="181" spans="1:9">
      <c r="A181" s="4"/>
      <c r="B181" s="12"/>
      <c r="C181" s="11"/>
      <c r="D181" s="11"/>
      <c r="E181" s="4"/>
      <c r="F181" s="4"/>
      <c r="G181" s="31"/>
      <c r="H181" s="4"/>
      <c r="I181" s="4"/>
    </row>
    <row r="182" spans="1:9">
      <c r="A182" s="22"/>
      <c r="B182" s="25"/>
      <c r="C182" s="25"/>
      <c r="D182" s="25"/>
      <c r="E182" s="22"/>
      <c r="F182" s="22"/>
      <c r="G182" s="31"/>
      <c r="H182" s="4"/>
      <c r="I182" s="4"/>
    </row>
    <row r="183" spans="1:9">
      <c r="A183" s="22"/>
      <c r="B183" s="25"/>
      <c r="C183" s="25"/>
      <c r="D183" s="25"/>
      <c r="E183" s="22"/>
      <c r="F183" s="22"/>
      <c r="G183" s="31"/>
      <c r="H183" s="4"/>
      <c r="I183" s="4"/>
    </row>
    <row r="184" spans="1:9">
      <c r="A184" s="22"/>
      <c r="B184" s="25"/>
      <c r="C184" s="25"/>
      <c r="D184" s="25"/>
      <c r="E184" s="22"/>
      <c r="F184" s="22"/>
      <c r="G184" s="31"/>
      <c r="H184" s="4"/>
      <c r="I184" s="4"/>
    </row>
    <row r="185" spans="1:9">
      <c r="A185" s="22"/>
      <c r="B185" s="25"/>
      <c r="C185" s="25"/>
      <c r="D185" s="25"/>
      <c r="E185" s="22"/>
      <c r="F185" s="22"/>
      <c r="G185" s="31"/>
      <c r="H185" s="4"/>
      <c r="I185" s="4"/>
    </row>
    <row r="186" spans="1:9">
      <c r="A186" s="22"/>
      <c r="B186" s="34"/>
      <c r="C186" s="25"/>
      <c r="D186" s="25"/>
      <c r="E186" s="22"/>
      <c r="F186" s="22"/>
      <c r="G186" s="31"/>
      <c r="H186" s="4"/>
      <c r="I186" s="4"/>
    </row>
    <row r="187" spans="1:9">
      <c r="A187" s="22"/>
      <c r="B187" s="35"/>
      <c r="C187" s="25"/>
      <c r="D187" s="25"/>
      <c r="E187" s="22"/>
      <c r="F187" s="22"/>
      <c r="G187" s="31"/>
      <c r="H187" s="4"/>
      <c r="I187" s="4"/>
    </row>
    <row r="188" spans="1:9">
      <c r="A188" s="22"/>
      <c r="B188" s="34"/>
      <c r="C188" s="25"/>
      <c r="D188" s="25"/>
      <c r="E188" s="22"/>
      <c r="F188" s="22"/>
      <c r="G188" s="31"/>
      <c r="H188" s="4"/>
      <c r="I188" s="4"/>
    </row>
    <row r="189" spans="1:9">
      <c r="A189" s="22"/>
      <c r="B189" s="25"/>
      <c r="C189" s="25"/>
      <c r="D189" s="25"/>
      <c r="E189" s="22"/>
      <c r="F189" s="22"/>
      <c r="G189" s="31"/>
      <c r="H189" s="4"/>
      <c r="I189" s="4"/>
    </row>
    <row r="190" spans="1:9">
      <c r="A190" s="22"/>
      <c r="B190" s="25"/>
      <c r="C190" s="25"/>
      <c r="D190" s="25"/>
      <c r="E190" s="22"/>
      <c r="F190" s="22"/>
      <c r="G190" s="31"/>
      <c r="H190" s="4"/>
      <c r="I190" s="4"/>
    </row>
    <row r="191" spans="1:9">
      <c r="A191" s="4"/>
      <c r="B191" s="11"/>
      <c r="C191" s="11"/>
      <c r="D191" s="11"/>
      <c r="E191" s="4"/>
      <c r="F191" s="4"/>
      <c r="G191" s="31"/>
      <c r="H191" s="4"/>
      <c r="I191" s="4"/>
    </row>
    <row r="192" spans="1:9">
      <c r="A192" s="4"/>
      <c r="B192" s="11"/>
      <c r="C192" s="11"/>
      <c r="D192" s="11"/>
      <c r="E192" s="4"/>
      <c r="F192" s="4"/>
      <c r="G192" s="31"/>
      <c r="H192" s="4"/>
      <c r="I192" s="4"/>
    </row>
    <row r="193" spans="1:9">
      <c r="A193" s="4"/>
      <c r="B193" s="11"/>
      <c r="C193" s="11"/>
      <c r="D193" s="11"/>
      <c r="E193" s="4"/>
      <c r="F193" s="4"/>
      <c r="G193" s="31"/>
      <c r="H193" s="4"/>
      <c r="I193" s="4"/>
    </row>
    <row r="194" spans="1:9">
      <c r="A194" s="4"/>
      <c r="B194" s="11"/>
      <c r="C194" s="11"/>
      <c r="D194" s="11"/>
      <c r="E194" s="4"/>
      <c r="F194" s="4"/>
      <c r="G194" s="31"/>
      <c r="H194" s="4"/>
      <c r="I194" s="4"/>
    </row>
    <row r="195" spans="1:9">
      <c r="A195" s="4"/>
      <c r="B195" s="11"/>
      <c r="C195" s="11"/>
      <c r="D195" s="11"/>
      <c r="E195" s="4"/>
      <c r="F195" s="4"/>
      <c r="G195" s="31"/>
      <c r="H195" s="4"/>
      <c r="I195" s="4"/>
    </row>
    <row r="196" spans="1:9">
      <c r="A196" s="4"/>
      <c r="B196" s="11"/>
      <c r="C196" s="11"/>
      <c r="D196" s="11"/>
      <c r="E196" s="4"/>
      <c r="F196" s="4"/>
      <c r="G196" s="31"/>
      <c r="H196" s="4"/>
      <c r="I196" s="4"/>
    </row>
    <row r="197" spans="1:9">
      <c r="A197" s="4"/>
      <c r="B197" s="11"/>
      <c r="C197" s="11"/>
      <c r="D197" s="11"/>
      <c r="E197" s="4"/>
      <c r="F197" s="4"/>
      <c r="G197" s="31"/>
      <c r="H197" s="4"/>
      <c r="I197" s="4"/>
    </row>
    <row r="198" spans="1:9">
      <c r="A198" s="4"/>
      <c r="B198" s="11"/>
      <c r="C198" s="11"/>
      <c r="D198" s="11"/>
      <c r="E198" s="4"/>
      <c r="F198" s="4"/>
      <c r="G198" s="31"/>
      <c r="H198" s="4"/>
      <c r="I198" s="4"/>
    </row>
    <row r="199" spans="1:9">
      <c r="A199" s="4"/>
      <c r="B199" s="11"/>
      <c r="C199" s="11"/>
      <c r="D199" s="11"/>
      <c r="E199" s="4"/>
      <c r="F199" s="4"/>
      <c r="G199" s="31"/>
      <c r="H199" s="4"/>
      <c r="I199" s="4"/>
    </row>
    <row r="200" spans="1:9">
      <c r="A200" s="4"/>
      <c r="B200" s="11"/>
      <c r="C200" s="15"/>
      <c r="D200" s="11"/>
      <c r="E200" s="4"/>
      <c r="F200" s="4"/>
      <c r="G200" s="31"/>
      <c r="H200" s="4"/>
      <c r="I200" s="4"/>
    </row>
    <row r="201" spans="1:9">
      <c r="A201" s="4"/>
      <c r="B201" s="11"/>
      <c r="C201" s="11"/>
      <c r="D201" s="11"/>
      <c r="E201" s="4"/>
      <c r="F201" s="4"/>
      <c r="G201" s="31"/>
      <c r="H201" s="4"/>
      <c r="I201" s="4"/>
    </row>
    <row r="202" spans="1:9">
      <c r="A202" s="4"/>
      <c r="B202" s="11"/>
      <c r="C202" s="11"/>
      <c r="D202" s="11"/>
      <c r="E202" s="4"/>
      <c r="F202" s="4"/>
      <c r="G202" s="31"/>
      <c r="H202" s="4"/>
      <c r="I202" s="4"/>
    </row>
    <row r="203" spans="1:9">
      <c r="A203" s="4"/>
      <c r="B203" s="11"/>
      <c r="C203" s="11"/>
      <c r="D203" s="11"/>
      <c r="E203" s="4"/>
      <c r="F203" s="4"/>
      <c r="G203" s="31"/>
      <c r="H203" s="4"/>
      <c r="I203" s="4"/>
    </row>
    <row r="204" spans="1:9">
      <c r="A204" s="4"/>
      <c r="B204" s="11"/>
      <c r="C204" s="11"/>
      <c r="D204" s="11"/>
      <c r="E204" s="4"/>
      <c r="F204" s="4"/>
      <c r="G204" s="31"/>
      <c r="H204" s="4"/>
      <c r="I204" s="4"/>
    </row>
    <row r="205" spans="1:9">
      <c r="A205" s="4"/>
      <c r="B205" s="11"/>
      <c r="C205" s="11"/>
      <c r="D205" s="11"/>
      <c r="E205" s="4"/>
      <c r="F205" s="4"/>
      <c r="G205" s="31"/>
      <c r="H205" s="4"/>
      <c r="I205" s="4"/>
    </row>
    <row r="206" spans="1:9">
      <c r="A206" s="4"/>
      <c r="B206" s="14"/>
      <c r="C206" s="11"/>
      <c r="D206" s="11"/>
      <c r="E206" s="4"/>
      <c r="F206" s="4"/>
      <c r="G206" s="31"/>
      <c r="H206" s="4"/>
      <c r="I206" s="4"/>
    </row>
    <row r="207" spans="1:9">
      <c r="A207" s="4"/>
      <c r="B207" s="14"/>
      <c r="C207" s="11"/>
      <c r="D207" s="11"/>
      <c r="E207" s="4"/>
      <c r="F207" s="4"/>
      <c r="G207" s="31"/>
      <c r="H207" s="4"/>
      <c r="I207" s="4"/>
    </row>
    <row r="208" spans="1:9">
      <c r="A208" s="4"/>
      <c r="B208" s="11"/>
      <c r="C208" s="11"/>
      <c r="D208" s="11"/>
      <c r="E208" s="4"/>
      <c r="F208" s="4"/>
      <c r="G208" s="31"/>
      <c r="H208" s="4"/>
      <c r="I208" s="4"/>
    </row>
    <row r="209" spans="1:9">
      <c r="A209" s="4"/>
      <c r="B209" s="11"/>
      <c r="C209" s="11"/>
      <c r="D209" s="11"/>
      <c r="E209" s="4"/>
      <c r="F209" s="4"/>
      <c r="G209" s="31"/>
      <c r="H209" s="4"/>
      <c r="I209" s="4"/>
    </row>
    <row r="210" spans="1:9">
      <c r="A210" s="4"/>
      <c r="B210" s="11"/>
      <c r="C210" s="11"/>
      <c r="D210" s="11"/>
      <c r="E210" s="4"/>
      <c r="F210" s="4"/>
      <c r="G210" s="31"/>
      <c r="H210" s="4"/>
      <c r="I210" s="4"/>
    </row>
    <row r="211" spans="1:9">
      <c r="A211" s="4"/>
      <c r="B211" s="11"/>
      <c r="C211" s="11"/>
      <c r="D211" s="11"/>
      <c r="E211" s="4"/>
      <c r="F211" s="4"/>
      <c r="G211" s="31"/>
      <c r="H211" s="4"/>
      <c r="I211" s="4"/>
    </row>
    <row r="212" spans="1:9">
      <c r="A212" s="4"/>
      <c r="B212" s="11"/>
      <c r="C212" s="11"/>
      <c r="D212" s="11"/>
      <c r="E212" s="4"/>
      <c r="F212" s="4"/>
      <c r="G212" s="31"/>
      <c r="H212" s="4"/>
      <c r="I212" s="4"/>
    </row>
    <row r="213" spans="1:9">
      <c r="A213" s="4"/>
      <c r="B213" s="11"/>
      <c r="C213" s="11"/>
      <c r="D213" s="11"/>
      <c r="E213" s="4"/>
      <c r="F213" s="4"/>
      <c r="G213" s="31"/>
      <c r="H213" s="4"/>
      <c r="I213" s="4"/>
    </row>
    <row r="214" spans="1:9">
      <c r="A214" s="4"/>
      <c r="B214" s="11"/>
      <c r="C214" s="11"/>
      <c r="D214" s="11"/>
      <c r="E214" s="4"/>
      <c r="F214" s="4"/>
      <c r="G214" s="31"/>
      <c r="H214" s="4"/>
      <c r="I214" s="4"/>
    </row>
    <row r="215" spans="1:9">
      <c r="A215" s="4"/>
      <c r="B215" s="11"/>
      <c r="C215" s="11"/>
      <c r="D215" s="11"/>
      <c r="E215" s="4"/>
      <c r="F215" s="4"/>
      <c r="G215" s="31"/>
      <c r="H215" s="4"/>
      <c r="I215" s="4"/>
    </row>
    <row r="216" spans="1:9">
      <c r="A216" s="4"/>
      <c r="B216" s="11"/>
      <c r="C216" s="11"/>
      <c r="D216" s="11"/>
      <c r="E216" s="4"/>
      <c r="F216" s="4"/>
      <c r="G216" s="31"/>
      <c r="H216" s="4"/>
      <c r="I216" s="4"/>
    </row>
    <row r="217" spans="1:9">
      <c r="A217" s="4"/>
      <c r="B217" s="11"/>
      <c r="C217" s="11"/>
      <c r="D217" s="11"/>
      <c r="E217" s="4"/>
      <c r="F217" s="4"/>
      <c r="G217" s="31"/>
      <c r="H217" s="4"/>
      <c r="I217" s="4"/>
    </row>
    <row r="218" spans="1:9">
      <c r="A218" s="4"/>
      <c r="B218" s="11"/>
      <c r="C218" s="11"/>
      <c r="D218" s="11"/>
      <c r="E218" s="4"/>
      <c r="F218" s="4"/>
      <c r="G218" s="31"/>
      <c r="H218" s="4"/>
      <c r="I218" s="4"/>
    </row>
    <row r="219" spans="1:9">
      <c r="A219" s="4"/>
      <c r="B219" s="11"/>
      <c r="C219" s="11"/>
      <c r="D219" s="11"/>
      <c r="E219" s="4"/>
      <c r="F219" s="4"/>
      <c r="G219" s="31"/>
      <c r="H219" s="4"/>
      <c r="I219" s="4"/>
    </row>
    <row r="220" spans="1:9">
      <c r="A220" s="4"/>
      <c r="B220" s="11"/>
      <c r="C220" s="11"/>
      <c r="D220" s="11"/>
      <c r="E220" s="4"/>
      <c r="F220" s="4"/>
      <c r="G220" s="31"/>
      <c r="H220" s="4"/>
      <c r="I220" s="4"/>
    </row>
    <row r="221" spans="1:9">
      <c r="A221" s="4"/>
      <c r="B221" s="11"/>
      <c r="C221" s="11"/>
      <c r="D221" s="11"/>
      <c r="E221" s="4"/>
      <c r="F221" s="4"/>
      <c r="G221" s="31"/>
      <c r="H221" s="4"/>
      <c r="I221" s="4"/>
    </row>
    <row r="222" spans="1:9">
      <c r="A222" s="4"/>
      <c r="B222" s="11"/>
      <c r="C222" s="11"/>
      <c r="D222" s="11"/>
      <c r="E222" s="4"/>
      <c r="F222" s="4"/>
      <c r="G222" s="31"/>
      <c r="H222" s="4"/>
      <c r="I222" s="4"/>
    </row>
    <row r="223" spans="1:9">
      <c r="A223" s="4"/>
      <c r="B223" s="11"/>
      <c r="C223" s="11"/>
      <c r="D223" s="11"/>
      <c r="E223" s="4"/>
      <c r="F223" s="4"/>
      <c r="G223" s="31"/>
      <c r="H223" s="4"/>
      <c r="I223" s="4"/>
    </row>
    <row r="224" spans="1:9">
      <c r="A224" s="4"/>
      <c r="B224" s="11"/>
      <c r="C224" s="11"/>
      <c r="D224" s="11"/>
      <c r="E224" s="4"/>
      <c r="F224" s="4"/>
      <c r="G224" s="31"/>
      <c r="H224" s="4"/>
      <c r="I224" s="4"/>
    </row>
    <row r="225" spans="1:9">
      <c r="A225" s="4"/>
      <c r="B225" s="11"/>
      <c r="C225" s="11"/>
      <c r="D225" s="11"/>
      <c r="E225" s="4"/>
      <c r="F225" s="4"/>
      <c r="G225" s="31"/>
      <c r="H225" s="4"/>
      <c r="I225" s="4"/>
    </row>
    <row r="226" spans="1:9">
      <c r="A226" s="4"/>
      <c r="B226" s="11"/>
      <c r="C226" s="11"/>
      <c r="D226" s="11"/>
      <c r="E226" s="4"/>
      <c r="F226" s="4"/>
      <c r="G226" s="31"/>
      <c r="H226" s="4"/>
      <c r="I226" s="4"/>
    </row>
    <row r="227" spans="1:9">
      <c r="A227" s="4"/>
      <c r="B227" s="11"/>
      <c r="C227" s="11"/>
      <c r="D227" s="11"/>
      <c r="E227" s="4"/>
      <c r="F227" s="4"/>
      <c r="G227" s="31"/>
      <c r="H227" s="4"/>
      <c r="I227" s="4"/>
    </row>
    <row r="228" spans="1:9">
      <c r="A228" s="4"/>
      <c r="B228" s="11"/>
      <c r="C228" s="11"/>
      <c r="D228" s="11"/>
      <c r="E228" s="4"/>
      <c r="F228" s="4"/>
      <c r="G228" s="31"/>
      <c r="H228" s="4"/>
      <c r="I228" s="4"/>
    </row>
    <row r="229" spans="1:9">
      <c r="A229" s="4"/>
      <c r="B229" s="11"/>
      <c r="C229" s="11"/>
      <c r="D229" s="11"/>
      <c r="E229" s="4"/>
      <c r="F229" s="4"/>
      <c r="G229" s="31"/>
      <c r="H229" s="4"/>
      <c r="I229" s="4"/>
    </row>
    <row r="230" spans="1:9">
      <c r="A230" s="4"/>
      <c r="B230" s="11"/>
      <c r="C230" s="11"/>
      <c r="D230" s="11"/>
      <c r="E230" s="4"/>
      <c r="F230" s="4"/>
      <c r="G230" s="31"/>
      <c r="H230" s="4"/>
      <c r="I230" s="4"/>
    </row>
    <row r="231" spans="1:9">
      <c r="A231" s="4"/>
      <c r="B231" s="11"/>
      <c r="C231" s="11"/>
      <c r="D231" s="11"/>
      <c r="E231" s="4"/>
      <c r="F231" s="4"/>
      <c r="G231" s="31"/>
      <c r="H231" s="4"/>
      <c r="I231" s="4"/>
    </row>
    <row r="232" spans="1:9">
      <c r="A232" s="4"/>
      <c r="B232" s="11"/>
      <c r="C232" s="11"/>
      <c r="D232" s="11"/>
      <c r="E232" s="4"/>
      <c r="F232" s="4"/>
      <c r="G232" s="31"/>
      <c r="H232" s="4"/>
      <c r="I232" s="4"/>
    </row>
  </sheetData>
  <mergeCells count="6">
    <mergeCell ref="A1:I1"/>
    <mergeCell ref="A2:B2"/>
    <mergeCell ref="A3:B3"/>
    <mergeCell ref="A4:B4"/>
    <mergeCell ref="E2:I2"/>
    <mergeCell ref="E3:I4"/>
  </mergeCells>
  <phoneticPr fontId="2" type="noConversion"/>
  <pageMargins left="0.7" right="0.7" top="0.75" bottom="0.75" header="0.3" footer="0.3"/>
  <pageSetup paperSize="9" scale="4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"/>
  <sheetViews>
    <sheetView view="pageBreakPreview" zoomScale="85" zoomScaleNormal="100" zoomScaleSheetLayoutView="85" workbookViewId="0">
      <selection activeCell="D21" sqref="D21"/>
    </sheetView>
  </sheetViews>
  <sheetFormatPr defaultColWidth="9" defaultRowHeight="16.5"/>
  <cols>
    <col min="1" max="1" width="6.125" style="1" customWidth="1"/>
    <col min="2" max="2" width="8.5" style="1" bestFit="1" customWidth="1"/>
    <col min="3" max="3" width="24.625" style="1" customWidth="1"/>
    <col min="4" max="4" width="44" style="21" customWidth="1"/>
    <col min="5" max="9" width="17.25" style="1" customWidth="1"/>
    <col min="10" max="16384" width="9" style="1"/>
  </cols>
  <sheetData>
    <row r="1" spans="1:9" s="2" customFormat="1" ht="31.5">
      <c r="A1" s="61" t="s">
        <v>14</v>
      </c>
      <c r="B1" s="61"/>
      <c r="C1" s="61"/>
      <c r="D1" s="61"/>
      <c r="E1" s="61"/>
      <c r="F1" s="61"/>
      <c r="G1" s="61"/>
      <c r="H1" s="61"/>
      <c r="I1" s="61"/>
    </row>
    <row r="2" spans="1:9" s="2" customFormat="1">
      <c r="A2" s="62" t="s">
        <v>21</v>
      </c>
      <c r="B2" s="63"/>
      <c r="C2" s="9"/>
      <c r="D2" s="17"/>
      <c r="E2" s="64" t="s">
        <v>22</v>
      </c>
      <c r="F2" s="64"/>
      <c r="G2" s="64"/>
      <c r="H2" s="64"/>
      <c r="I2" s="64"/>
    </row>
    <row r="3" spans="1:9" s="2" customFormat="1">
      <c r="A3" s="62" t="s">
        <v>20</v>
      </c>
      <c r="B3" s="63"/>
      <c r="C3" s="9"/>
      <c r="D3" s="17"/>
      <c r="E3" s="65"/>
      <c r="F3" s="65"/>
      <c r="G3" s="65"/>
      <c r="H3" s="65"/>
      <c r="I3" s="65"/>
    </row>
    <row r="4" spans="1:9" s="2" customFormat="1">
      <c r="A4" s="62" t="s">
        <v>19</v>
      </c>
      <c r="B4" s="63"/>
      <c r="C4" s="9"/>
      <c r="D4" s="17"/>
      <c r="E4" s="65"/>
      <c r="F4" s="65"/>
      <c r="G4" s="65"/>
      <c r="H4" s="65"/>
      <c r="I4" s="65"/>
    </row>
    <row r="5" spans="1:9">
      <c r="A5" s="8" t="s">
        <v>8</v>
      </c>
      <c r="B5" s="8" t="s">
        <v>9</v>
      </c>
      <c r="C5" s="5" t="s">
        <v>0</v>
      </c>
      <c r="D5" s="18" t="s">
        <v>26</v>
      </c>
      <c r="E5" s="5" t="s">
        <v>1</v>
      </c>
      <c r="F5" s="5" t="s">
        <v>2</v>
      </c>
      <c r="G5" s="5" t="s">
        <v>10</v>
      </c>
      <c r="H5" s="5" t="s">
        <v>3</v>
      </c>
      <c r="I5" s="5" t="s">
        <v>11</v>
      </c>
    </row>
    <row r="6" spans="1:9">
      <c r="A6" s="4">
        <v>1</v>
      </c>
      <c r="B6" s="16" t="s">
        <v>60</v>
      </c>
      <c r="C6" s="11" t="s">
        <v>58</v>
      </c>
      <c r="D6" s="19" t="s">
        <v>59</v>
      </c>
      <c r="E6" s="4"/>
      <c r="F6" s="4"/>
      <c r="G6" s="31" t="str">
        <f t="shared" ref="G6" si="0">IFERROR(SUBSTITUTE(F6,"A","")/SUBSTITUTE(E6,"A","")*100, "")</f>
        <v/>
      </c>
      <c r="H6" s="4" t="s">
        <v>4</v>
      </c>
      <c r="I6" s="4" t="str">
        <f t="shared" ref="I6" si="1">IFERROR(IF(G6 &lt;= VALUE(SUBSTITUTE(SUBSTITUTE(H6,"≤ ",""),"%","")), "Pass", "Fail"), "")</f>
        <v>Fail</v>
      </c>
    </row>
    <row r="7" spans="1:9">
      <c r="A7" s="4"/>
      <c r="B7" s="16"/>
      <c r="C7" s="11"/>
      <c r="D7" s="19"/>
      <c r="E7" s="4"/>
      <c r="F7" s="4"/>
      <c r="G7" s="31"/>
      <c r="H7" s="4"/>
      <c r="I7" s="4"/>
    </row>
    <row r="8" spans="1:9">
      <c r="A8" s="4"/>
      <c r="B8" s="16"/>
      <c r="C8" s="11"/>
      <c r="D8" s="19"/>
      <c r="E8" s="4"/>
      <c r="F8" s="4"/>
      <c r="G8" s="31"/>
      <c r="H8" s="4"/>
      <c r="I8" s="4"/>
    </row>
    <row r="9" spans="1:9">
      <c r="A9" s="4"/>
      <c r="B9" s="16"/>
      <c r="C9" s="11"/>
      <c r="D9" s="19"/>
      <c r="E9" s="4"/>
      <c r="F9" s="4"/>
      <c r="G9" s="31"/>
      <c r="H9" s="4"/>
      <c r="I9" s="4"/>
    </row>
    <row r="10" spans="1:9">
      <c r="A10" s="4"/>
      <c r="B10" s="16"/>
      <c r="C10" s="11"/>
      <c r="D10" s="19"/>
      <c r="E10" s="4"/>
      <c r="F10" s="4"/>
      <c r="G10" s="31"/>
      <c r="H10" s="4"/>
      <c r="I10" s="4"/>
    </row>
    <row r="11" spans="1:9">
      <c r="A11" s="4"/>
      <c r="B11" s="16"/>
      <c r="C11" s="11"/>
      <c r="D11" s="19"/>
      <c r="E11" s="4"/>
      <c r="F11" s="4"/>
      <c r="G11" s="31"/>
      <c r="H11" s="4"/>
      <c r="I11" s="4"/>
    </row>
    <row r="12" spans="1:9">
      <c r="A12" s="4"/>
      <c r="B12" s="16"/>
      <c r="C12" s="11"/>
      <c r="D12" s="19"/>
      <c r="E12" s="4"/>
      <c r="F12" s="4"/>
      <c r="G12" s="31"/>
      <c r="H12" s="4"/>
      <c r="I12" s="4"/>
    </row>
    <row r="13" spans="1:9">
      <c r="A13" s="4"/>
      <c r="B13" s="16"/>
      <c r="C13" s="11"/>
      <c r="D13" s="19"/>
      <c r="E13" s="4"/>
      <c r="F13" s="4"/>
      <c r="G13" s="31"/>
      <c r="H13" s="4"/>
      <c r="I13" s="4"/>
    </row>
    <row r="14" spans="1:9">
      <c r="A14" s="4"/>
      <c r="B14" s="16"/>
      <c r="C14" s="11"/>
      <c r="D14" s="19"/>
      <c r="E14" s="4"/>
      <c r="F14" s="4"/>
      <c r="G14" s="31"/>
      <c r="H14" s="4"/>
      <c r="I14" s="4"/>
    </row>
    <row r="15" spans="1:9">
      <c r="A15" s="4"/>
      <c r="B15" s="24"/>
      <c r="C15" s="25"/>
      <c r="D15" s="26"/>
      <c r="E15" s="4"/>
      <c r="F15" s="4"/>
      <c r="G15" s="31"/>
      <c r="H15" s="4"/>
      <c r="I15" s="4"/>
    </row>
    <row r="16" spans="1:9">
      <c r="A16" s="4"/>
      <c r="B16" s="24"/>
      <c r="C16" s="25"/>
      <c r="D16" s="26"/>
      <c r="E16" s="4"/>
      <c r="F16" s="4"/>
      <c r="G16" s="31"/>
      <c r="H16" s="4"/>
      <c r="I16" s="4"/>
    </row>
    <row r="17" spans="1:9">
      <c r="A17" s="4"/>
      <c r="B17" s="24"/>
      <c r="C17" s="25"/>
      <c r="D17" s="26"/>
      <c r="E17" s="4"/>
      <c r="F17" s="4"/>
      <c r="G17" s="31"/>
      <c r="H17" s="4"/>
      <c r="I17" s="4"/>
    </row>
    <row r="18" spans="1:9">
      <c r="A18" s="4"/>
      <c r="B18" s="24"/>
      <c r="C18" s="25"/>
      <c r="D18" s="26"/>
      <c r="E18" s="4"/>
      <c r="F18" s="4"/>
      <c r="G18" s="31"/>
      <c r="H18" s="4"/>
      <c r="I18" s="4"/>
    </row>
    <row r="19" spans="1:9">
      <c r="A19" s="4"/>
      <c r="B19" s="24"/>
      <c r="C19" s="25"/>
      <c r="D19" s="26"/>
      <c r="E19" s="4"/>
      <c r="F19" s="4"/>
      <c r="G19" s="31"/>
      <c r="H19" s="4"/>
      <c r="I19" s="4"/>
    </row>
    <row r="20" spans="1:9">
      <c r="A20" s="4"/>
      <c r="B20" s="24"/>
      <c r="C20" s="25"/>
      <c r="D20" s="26"/>
      <c r="E20" s="4"/>
      <c r="F20" s="4"/>
      <c r="G20" s="31"/>
      <c r="H20" s="4"/>
      <c r="I20" s="4"/>
    </row>
    <row r="21" spans="1:9">
      <c r="A21" s="4"/>
      <c r="B21" s="24"/>
      <c r="C21" s="25"/>
      <c r="D21" s="26"/>
      <c r="E21" s="4"/>
      <c r="F21" s="4"/>
      <c r="G21" s="31"/>
      <c r="H21" s="4"/>
      <c r="I21" s="4"/>
    </row>
    <row r="22" spans="1:9">
      <c r="A22" s="4"/>
      <c r="B22" s="24"/>
      <c r="C22" s="25"/>
      <c r="D22" s="26"/>
      <c r="E22" s="4"/>
      <c r="F22" s="4"/>
      <c r="G22" s="31"/>
      <c r="H22" s="4"/>
      <c r="I22" s="4"/>
    </row>
    <row r="23" spans="1:9">
      <c r="A23" s="4"/>
      <c r="B23" s="24"/>
      <c r="C23" s="25"/>
      <c r="D23" s="26"/>
      <c r="E23" s="4"/>
      <c r="F23" s="4"/>
      <c r="G23" s="31"/>
      <c r="H23" s="4"/>
      <c r="I23" s="4"/>
    </row>
    <row r="24" spans="1:9">
      <c r="A24" s="4"/>
      <c r="B24" s="24"/>
      <c r="C24" s="25"/>
      <c r="D24" s="26"/>
      <c r="E24" s="22"/>
      <c r="F24" s="4"/>
      <c r="G24" s="31"/>
      <c r="H24" s="4"/>
      <c r="I24" s="4"/>
    </row>
    <row r="25" spans="1:9">
      <c r="A25" s="4"/>
      <c r="B25" s="24"/>
      <c r="C25" s="25"/>
      <c r="D25" s="26"/>
      <c r="E25" s="22"/>
      <c r="F25" s="4"/>
      <c r="G25" s="31"/>
      <c r="H25" s="4"/>
      <c r="I25" s="4"/>
    </row>
    <row r="26" spans="1:9">
      <c r="A26" s="4"/>
      <c r="B26" s="24"/>
      <c r="C26" s="25"/>
      <c r="D26" s="26"/>
      <c r="E26" s="22"/>
      <c r="F26" s="4"/>
      <c r="G26" s="31"/>
      <c r="H26" s="4"/>
      <c r="I26" s="4"/>
    </row>
    <row r="27" spans="1:9">
      <c r="A27" s="4"/>
      <c r="B27" s="16"/>
      <c r="C27" s="11"/>
      <c r="D27" s="19"/>
      <c r="E27" s="4"/>
      <c r="F27" s="4"/>
      <c r="G27" s="31"/>
      <c r="H27" s="4"/>
      <c r="I27" s="4"/>
    </row>
    <row r="28" spans="1:9">
      <c r="A28" s="4"/>
      <c r="B28" s="4"/>
      <c r="C28" s="11"/>
      <c r="D28" s="19"/>
      <c r="E28" s="4"/>
      <c r="F28" s="4"/>
      <c r="G28" s="31"/>
      <c r="H28" s="4"/>
      <c r="I28" s="4"/>
    </row>
    <row r="29" spans="1:9">
      <c r="A29" s="4"/>
      <c r="B29" s="4"/>
      <c r="C29" s="4"/>
      <c r="D29" s="20"/>
      <c r="E29" s="4"/>
      <c r="F29" s="4"/>
      <c r="G29" s="4" t="str">
        <f t="shared" ref="G29" si="2">IFERROR(SUBSTITUTE(F29,"A","")/SUBSTITUTE(E29,"A","")*100, "")</f>
        <v/>
      </c>
      <c r="H29" s="4"/>
      <c r="I29" s="4" t="str">
        <f t="shared" ref="I29" si="3">IFERROR(IF(G29 &lt;= VALUE(SUBSTITUTE(SUBSTITUTE(H29,"≤ ",""),"%","")), "Pass", "Fail"), "")</f>
        <v/>
      </c>
    </row>
    <row r="30" spans="1:9">
      <c r="A30" s="4"/>
      <c r="B30" s="24"/>
      <c r="C30" s="25"/>
      <c r="D30" s="26"/>
      <c r="E30" s="22"/>
      <c r="F30" s="4"/>
      <c r="G30" s="31"/>
      <c r="H30" s="4"/>
      <c r="I30" s="4"/>
    </row>
    <row r="31" spans="1:9">
      <c r="A31" s="4"/>
      <c r="B31" s="16"/>
      <c r="C31" s="11"/>
      <c r="D31" s="19"/>
      <c r="E31" s="4"/>
      <c r="F31" s="4"/>
      <c r="G31" s="31"/>
      <c r="H31" s="4"/>
      <c r="I31" s="4"/>
    </row>
    <row r="32" spans="1:9">
      <c r="A32" s="4"/>
      <c r="B32" s="4"/>
      <c r="C32" s="11"/>
      <c r="D32" s="19"/>
      <c r="E32" s="4"/>
      <c r="F32" s="4"/>
      <c r="G32" s="31"/>
      <c r="H32" s="4"/>
      <c r="I32" s="4"/>
    </row>
    <row r="33" spans="1:9">
      <c r="A33" s="4"/>
      <c r="B33" s="24"/>
      <c r="C33" s="25"/>
      <c r="D33" s="26"/>
      <c r="E33" s="22"/>
      <c r="F33" s="4"/>
      <c r="G33" s="31"/>
      <c r="H33" s="4"/>
      <c r="I33" s="4"/>
    </row>
    <row r="34" spans="1:9">
      <c r="A34" s="4"/>
      <c r="B34" s="16"/>
      <c r="C34" s="11"/>
      <c r="D34" s="19"/>
      <c r="E34" s="4"/>
      <c r="F34" s="4"/>
      <c r="G34" s="31"/>
      <c r="H34" s="4"/>
      <c r="I34" s="4"/>
    </row>
    <row r="35" spans="1:9">
      <c r="A35" s="4"/>
      <c r="B35" s="4"/>
      <c r="C35" s="11"/>
      <c r="D35" s="19"/>
      <c r="E35" s="4"/>
      <c r="F35" s="4"/>
      <c r="G35" s="31"/>
      <c r="H35" s="4"/>
      <c r="I35" s="4"/>
    </row>
  </sheetData>
  <mergeCells count="6">
    <mergeCell ref="A1:I1"/>
    <mergeCell ref="A2:B2"/>
    <mergeCell ref="A3:B3"/>
    <mergeCell ref="A4:B4"/>
    <mergeCell ref="E2:I2"/>
    <mergeCell ref="E3:I4"/>
  </mergeCells>
  <phoneticPr fontId="2" type="noConversion"/>
  <pageMargins left="0.7" right="0.7" top="0.75" bottom="0.75" header="0.3" footer="0.3"/>
  <pageSetup paperSize="9" scale="48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43338-5B1F-46F2-8EB2-148E7D52D86C}">
  <dimension ref="A1:I101"/>
  <sheetViews>
    <sheetView view="pageBreakPreview" zoomScale="85" zoomScaleNormal="100" zoomScaleSheetLayoutView="85" zoomScalePageLayoutView="85" workbookViewId="0">
      <selection activeCell="E8" sqref="E8"/>
    </sheetView>
  </sheetViews>
  <sheetFormatPr defaultColWidth="9" defaultRowHeight="16.5"/>
  <cols>
    <col min="1" max="1" width="6.125" style="1" customWidth="1"/>
    <col min="2" max="2" width="7.625" style="1" customWidth="1"/>
    <col min="3" max="3" width="18" style="1" customWidth="1"/>
    <col min="4" max="4" width="22.75" style="21" customWidth="1"/>
    <col min="5" max="8" width="18" style="1" customWidth="1"/>
    <col min="9" max="9" width="18" style="29" customWidth="1"/>
    <col min="10" max="10" width="16.375" style="1" customWidth="1"/>
    <col min="11" max="11" width="36.125" style="1" customWidth="1"/>
    <col min="12" max="16384" width="9" style="1"/>
  </cols>
  <sheetData>
    <row r="1" spans="1:9" s="2" customFormat="1" ht="31.5">
      <c r="A1" s="61" t="s">
        <v>15</v>
      </c>
      <c r="B1" s="61"/>
      <c r="C1" s="61"/>
      <c r="D1" s="61"/>
      <c r="E1" s="61"/>
      <c r="F1" s="61"/>
      <c r="G1" s="61"/>
      <c r="H1" s="61"/>
      <c r="I1" s="61"/>
    </row>
    <row r="2" spans="1:9" s="2" customFormat="1">
      <c r="A2" s="64" t="s">
        <v>21</v>
      </c>
      <c r="B2" s="64"/>
      <c r="C2" s="9"/>
      <c r="D2" s="17"/>
      <c r="E2" s="64" t="s">
        <v>22</v>
      </c>
      <c r="F2" s="64"/>
      <c r="G2" s="64"/>
      <c r="H2" s="64"/>
      <c r="I2" s="64"/>
    </row>
    <row r="3" spans="1:9" s="2" customFormat="1">
      <c r="A3" s="64" t="s">
        <v>20</v>
      </c>
      <c r="B3" s="64"/>
      <c r="C3" s="9"/>
      <c r="D3" s="17"/>
      <c r="E3" s="65"/>
      <c r="F3" s="65"/>
      <c r="G3" s="65"/>
      <c r="H3" s="65"/>
      <c r="I3" s="65"/>
    </row>
    <row r="4" spans="1:9" s="2" customFormat="1">
      <c r="A4" s="64" t="s">
        <v>19</v>
      </c>
      <c r="B4" s="64"/>
      <c r="C4" s="9"/>
      <c r="D4" s="17"/>
      <c r="E4" s="65"/>
      <c r="F4" s="65"/>
      <c r="G4" s="65"/>
      <c r="H4" s="65"/>
      <c r="I4" s="65"/>
    </row>
    <row r="5" spans="1:9" ht="49.5">
      <c r="A5" s="8" t="s">
        <v>8</v>
      </c>
      <c r="B5" s="8" t="s">
        <v>9</v>
      </c>
      <c r="C5" s="5" t="s">
        <v>0</v>
      </c>
      <c r="D5" s="18"/>
      <c r="E5" s="18" t="s">
        <v>66</v>
      </c>
      <c r="F5" s="18" t="s">
        <v>67</v>
      </c>
      <c r="G5" s="5" t="s">
        <v>10</v>
      </c>
      <c r="H5" s="5" t="s">
        <v>3</v>
      </c>
      <c r="I5" s="37" t="s">
        <v>11</v>
      </c>
    </row>
    <row r="6" spans="1:9">
      <c r="A6" s="68">
        <v>1</v>
      </c>
      <c r="B6" s="68" t="s">
        <v>68</v>
      </c>
      <c r="C6" s="68" t="s">
        <v>69</v>
      </c>
      <c r="D6" s="71" t="s">
        <v>70</v>
      </c>
      <c r="E6" s="22"/>
      <c r="F6" s="4"/>
      <c r="G6" s="31" t="str">
        <f>IFERROR(SUBSTITUTE(F6,"V","")/SUBSTITUTE(E6,"V","")*100, "")</f>
        <v/>
      </c>
      <c r="H6" s="4" t="s">
        <v>71</v>
      </c>
      <c r="I6" s="28" t="str">
        <f t="shared" ref="I6:I7" si="0">IFERROR(IF(G6 &lt;= VALUE(SUBSTITUTE(SUBSTITUTE(H6,"≤ ",""),"%","")), "Pass", "Fail"), "")</f>
        <v>Fail</v>
      </c>
    </row>
    <row r="7" spans="1:9">
      <c r="A7" s="68"/>
      <c r="B7" s="68"/>
      <c r="C7" s="68"/>
      <c r="D7" s="72"/>
      <c r="E7" s="22"/>
      <c r="F7" s="4"/>
      <c r="G7" s="31" t="str">
        <f>IFERROR(SUBSTITUTE(F7,"A","")/SUBSTITUTE(E7,"A","")*100, "")</f>
        <v/>
      </c>
      <c r="H7" s="4" t="s">
        <v>71</v>
      </c>
      <c r="I7" s="28" t="str">
        <f t="shared" si="0"/>
        <v>Fail</v>
      </c>
    </row>
    <row r="8" spans="1:9">
      <c r="A8" s="68"/>
      <c r="B8" s="68"/>
      <c r="C8" s="68"/>
      <c r="D8" s="69"/>
      <c r="E8" s="22"/>
      <c r="F8" s="4"/>
      <c r="G8" s="31"/>
      <c r="H8" s="4"/>
      <c r="I8" s="28"/>
    </row>
    <row r="9" spans="1:9">
      <c r="A9" s="68"/>
      <c r="B9" s="68"/>
      <c r="C9" s="68"/>
      <c r="D9" s="70"/>
      <c r="E9" s="22"/>
      <c r="F9" s="4"/>
      <c r="G9" s="31"/>
      <c r="H9" s="4"/>
      <c r="I9" s="28"/>
    </row>
    <row r="10" spans="1:9">
      <c r="A10" s="68"/>
      <c r="B10" s="66"/>
      <c r="C10" s="68"/>
      <c r="D10" s="69"/>
      <c r="E10" s="22"/>
      <c r="F10" s="4"/>
      <c r="G10" s="31"/>
      <c r="H10" s="4"/>
      <c r="I10" s="28"/>
    </row>
    <row r="11" spans="1:9">
      <c r="A11" s="68"/>
      <c r="B11" s="67"/>
      <c r="C11" s="68"/>
      <c r="D11" s="70"/>
      <c r="E11" s="22"/>
      <c r="F11" s="4"/>
      <c r="G11" s="31"/>
      <c r="H11" s="4"/>
      <c r="I11" s="28"/>
    </row>
    <row r="12" spans="1:9">
      <c r="A12" s="68"/>
      <c r="B12" s="68"/>
      <c r="C12" s="68"/>
      <c r="D12" s="69"/>
      <c r="E12" s="22"/>
      <c r="F12" s="4"/>
      <c r="G12" s="31"/>
      <c r="H12" s="4"/>
      <c r="I12" s="28"/>
    </row>
    <row r="13" spans="1:9">
      <c r="A13" s="68"/>
      <c r="B13" s="68"/>
      <c r="C13" s="68"/>
      <c r="D13" s="70"/>
      <c r="E13" s="22"/>
      <c r="F13" s="4"/>
      <c r="G13" s="31"/>
      <c r="H13" s="4"/>
      <c r="I13" s="28"/>
    </row>
    <row r="14" spans="1:9">
      <c r="A14" s="68"/>
      <c r="B14" s="66"/>
      <c r="C14" s="68"/>
      <c r="D14" s="69"/>
      <c r="E14" s="22"/>
      <c r="F14" s="4"/>
      <c r="G14" s="31"/>
      <c r="H14" s="4"/>
      <c r="I14" s="28"/>
    </row>
    <row r="15" spans="1:9">
      <c r="A15" s="68"/>
      <c r="B15" s="67"/>
      <c r="C15" s="68"/>
      <c r="D15" s="70"/>
      <c r="E15" s="22"/>
      <c r="F15" s="22"/>
      <c r="G15" s="31"/>
      <c r="H15" s="4"/>
      <c r="I15" s="28"/>
    </row>
    <row r="16" spans="1:9">
      <c r="A16" s="68"/>
      <c r="B16" s="66"/>
      <c r="C16" s="68"/>
      <c r="D16" s="69"/>
      <c r="E16" s="22"/>
      <c r="F16" s="4"/>
      <c r="G16" s="31"/>
      <c r="H16" s="4"/>
      <c r="I16" s="28"/>
    </row>
    <row r="17" spans="1:9">
      <c r="A17" s="68"/>
      <c r="B17" s="67"/>
      <c r="C17" s="68"/>
      <c r="D17" s="70"/>
      <c r="E17" s="22"/>
      <c r="F17" s="4"/>
      <c r="G17" s="31"/>
      <c r="H17" s="4"/>
      <c r="I17" s="28"/>
    </row>
    <row r="18" spans="1:9">
      <c r="A18" s="68"/>
      <c r="B18" s="66"/>
      <c r="C18" s="68"/>
      <c r="D18" s="69"/>
      <c r="E18" s="22"/>
      <c r="F18" s="4"/>
      <c r="G18" s="31"/>
      <c r="H18" s="4"/>
      <c r="I18" s="28"/>
    </row>
    <row r="19" spans="1:9">
      <c r="A19" s="68"/>
      <c r="B19" s="67"/>
      <c r="C19" s="68"/>
      <c r="D19" s="70"/>
      <c r="E19" s="22"/>
      <c r="F19" s="4"/>
      <c r="G19" s="31"/>
      <c r="H19" s="4"/>
      <c r="I19" s="28"/>
    </row>
    <row r="20" spans="1:9">
      <c r="A20" s="68"/>
      <c r="B20" s="68"/>
      <c r="C20" s="68"/>
      <c r="D20" s="69"/>
      <c r="E20" s="22"/>
      <c r="F20" s="4"/>
      <c r="G20" s="31"/>
      <c r="H20" s="4"/>
      <c r="I20" s="28"/>
    </row>
    <row r="21" spans="1:9">
      <c r="A21" s="68"/>
      <c r="B21" s="68"/>
      <c r="C21" s="68"/>
      <c r="D21" s="70"/>
      <c r="E21" s="22"/>
      <c r="F21" s="22"/>
      <c r="G21" s="33"/>
      <c r="H21" s="22"/>
      <c r="I21" s="38"/>
    </row>
    <row r="22" spans="1:9">
      <c r="A22" s="66"/>
      <c r="B22" s="66"/>
      <c r="C22" s="68"/>
      <c r="D22" s="20"/>
      <c r="E22" s="4"/>
      <c r="F22" s="4"/>
      <c r="G22" s="4" t="str">
        <f t="shared" ref="G22" si="1">IFERROR(SUBSTITUTE(F22,"V","")/SUBSTITUTE(E22,"V","")*100, "")</f>
        <v/>
      </c>
      <c r="H22" s="4"/>
      <c r="I22" s="28" t="str">
        <f t="shared" ref="I22:I23" si="2">IFERROR(IF(G22 &lt;= VALUE(SUBSTITUTE(SUBSTITUTE(H22,"≤ ",""),"%","")), "Pass", "Fail"), "")</f>
        <v/>
      </c>
    </row>
    <row r="23" spans="1:9">
      <c r="A23" s="67"/>
      <c r="B23" s="67"/>
      <c r="C23" s="68"/>
      <c r="D23" s="20"/>
      <c r="E23" s="4"/>
      <c r="F23" s="4"/>
      <c r="G23" s="4" t="str">
        <f t="shared" ref="G23" si="3">IFERROR(SUBSTITUTE(F23,"A","")/SUBSTITUTE(E23,"A","")*100, "")</f>
        <v/>
      </c>
      <c r="H23" s="4"/>
      <c r="I23" s="28" t="str">
        <f t="shared" si="2"/>
        <v/>
      </c>
    </row>
    <row r="24" spans="1:9">
      <c r="A24" s="66"/>
      <c r="B24" s="66"/>
      <c r="C24" s="68"/>
      <c r="D24" s="20"/>
      <c r="E24" s="4"/>
      <c r="F24" s="4"/>
      <c r="G24" s="4"/>
      <c r="H24" s="4"/>
      <c r="I24" s="28"/>
    </row>
    <row r="25" spans="1:9">
      <c r="A25" s="67"/>
      <c r="B25" s="67"/>
      <c r="C25" s="68"/>
      <c r="D25" s="20"/>
      <c r="E25" s="4"/>
      <c r="F25" s="4"/>
      <c r="G25" s="4"/>
      <c r="H25" s="4"/>
      <c r="I25" s="28"/>
    </row>
    <row r="26" spans="1:9">
      <c r="A26" s="66"/>
      <c r="B26" s="66"/>
      <c r="C26" s="68"/>
      <c r="D26" s="20"/>
      <c r="E26" s="4"/>
      <c r="F26" s="4"/>
      <c r="G26" s="4"/>
      <c r="H26" s="4"/>
      <c r="I26" s="28"/>
    </row>
    <row r="27" spans="1:9">
      <c r="A27" s="67"/>
      <c r="B27" s="67"/>
      <c r="C27" s="68"/>
      <c r="D27" s="20"/>
      <c r="E27" s="4"/>
      <c r="F27" s="4"/>
      <c r="G27" s="4"/>
      <c r="H27" s="4"/>
      <c r="I27" s="28"/>
    </row>
    <row r="28" spans="1:9">
      <c r="A28" s="66"/>
      <c r="B28" s="66"/>
      <c r="C28" s="68"/>
      <c r="D28" s="20"/>
      <c r="E28" s="4"/>
      <c r="F28" s="4"/>
      <c r="G28" s="4"/>
      <c r="H28" s="4"/>
      <c r="I28" s="28"/>
    </row>
    <row r="29" spans="1:9">
      <c r="A29" s="67"/>
      <c r="B29" s="67"/>
      <c r="C29" s="68"/>
      <c r="D29" s="20"/>
      <c r="E29" s="4"/>
      <c r="F29" s="4"/>
      <c r="G29" s="4"/>
      <c r="H29" s="4"/>
      <c r="I29" s="28"/>
    </row>
    <row r="30" spans="1:9">
      <c r="A30" s="66"/>
      <c r="B30" s="66"/>
      <c r="C30" s="68"/>
      <c r="D30" s="20"/>
      <c r="E30" s="4"/>
      <c r="F30" s="4"/>
      <c r="G30" s="4"/>
      <c r="H30" s="4"/>
      <c r="I30" s="28"/>
    </row>
    <row r="31" spans="1:9">
      <c r="A31" s="67"/>
      <c r="B31" s="67"/>
      <c r="C31" s="68"/>
      <c r="D31" s="20"/>
      <c r="E31" s="4"/>
      <c r="F31" s="4"/>
      <c r="G31" s="4"/>
      <c r="H31" s="4"/>
      <c r="I31" s="28"/>
    </row>
    <row r="32" spans="1:9">
      <c r="A32" s="66"/>
      <c r="B32" s="66"/>
      <c r="C32" s="68"/>
      <c r="D32" s="20"/>
      <c r="E32" s="4"/>
      <c r="F32" s="4"/>
      <c r="G32" s="4"/>
      <c r="H32" s="4"/>
      <c r="I32" s="28"/>
    </row>
    <row r="33" spans="1:9">
      <c r="A33" s="67"/>
      <c r="B33" s="67"/>
      <c r="C33" s="68"/>
      <c r="D33" s="20"/>
      <c r="E33" s="4"/>
      <c r="F33" s="4"/>
      <c r="G33" s="4"/>
      <c r="H33" s="4"/>
      <c r="I33" s="28"/>
    </row>
    <row r="34" spans="1:9">
      <c r="A34" s="66"/>
      <c r="B34" s="66"/>
      <c r="C34" s="68"/>
      <c r="D34" s="20"/>
      <c r="E34" s="4"/>
      <c r="F34" s="4"/>
      <c r="G34" s="4"/>
      <c r="H34" s="4"/>
      <c r="I34" s="28"/>
    </row>
    <row r="35" spans="1:9">
      <c r="A35" s="67"/>
      <c r="B35" s="67"/>
      <c r="C35" s="68"/>
      <c r="D35" s="20"/>
      <c r="E35" s="4"/>
      <c r="F35" s="4"/>
      <c r="G35" s="4"/>
      <c r="H35" s="4"/>
      <c r="I35" s="28"/>
    </row>
    <row r="36" spans="1:9">
      <c r="A36" s="66"/>
      <c r="B36" s="66"/>
      <c r="C36" s="68"/>
      <c r="D36" s="20"/>
      <c r="E36" s="4"/>
      <c r="F36" s="4"/>
      <c r="G36" s="4"/>
      <c r="H36" s="4"/>
      <c r="I36" s="28"/>
    </row>
    <row r="37" spans="1:9">
      <c r="A37" s="67"/>
      <c r="B37" s="67"/>
      <c r="C37" s="68"/>
      <c r="D37" s="20"/>
      <c r="E37" s="4"/>
      <c r="F37" s="4"/>
      <c r="G37" s="4"/>
      <c r="H37" s="4"/>
      <c r="I37" s="28"/>
    </row>
    <row r="38" spans="1:9">
      <c r="A38" s="66"/>
      <c r="B38" s="66"/>
      <c r="C38" s="68"/>
      <c r="D38" s="20"/>
      <c r="E38" s="4"/>
      <c r="F38" s="4"/>
      <c r="G38" s="4"/>
      <c r="H38" s="4"/>
      <c r="I38" s="28"/>
    </row>
    <row r="39" spans="1:9">
      <c r="A39" s="67"/>
      <c r="B39" s="67"/>
      <c r="C39" s="68"/>
      <c r="D39" s="20"/>
      <c r="E39" s="4"/>
      <c r="F39" s="4"/>
      <c r="G39" s="4"/>
      <c r="H39" s="4"/>
      <c r="I39" s="28"/>
    </row>
    <row r="40" spans="1:9">
      <c r="A40" s="66"/>
      <c r="B40" s="66"/>
      <c r="C40" s="68"/>
      <c r="D40" s="20"/>
      <c r="E40" s="4"/>
      <c r="F40" s="4"/>
      <c r="G40" s="4"/>
      <c r="H40" s="4"/>
      <c r="I40" s="28"/>
    </row>
    <row r="41" spans="1:9">
      <c r="A41" s="67"/>
      <c r="B41" s="67"/>
      <c r="C41" s="68"/>
      <c r="D41" s="20"/>
      <c r="E41" s="4"/>
      <c r="F41" s="4"/>
      <c r="G41" s="4"/>
      <c r="H41" s="4"/>
      <c r="I41" s="28"/>
    </row>
    <row r="42" spans="1:9">
      <c r="A42" s="66"/>
      <c r="B42" s="66"/>
      <c r="C42" s="68"/>
      <c r="D42" s="20"/>
      <c r="E42" s="4"/>
      <c r="F42" s="4"/>
      <c r="G42" s="4"/>
      <c r="H42" s="4"/>
      <c r="I42" s="28"/>
    </row>
    <row r="43" spans="1:9">
      <c r="A43" s="67"/>
      <c r="B43" s="67"/>
      <c r="C43" s="68"/>
      <c r="D43" s="20"/>
      <c r="E43" s="4"/>
      <c r="F43" s="4"/>
      <c r="G43" s="4"/>
      <c r="H43" s="4"/>
      <c r="I43" s="28"/>
    </row>
    <row r="44" spans="1:9">
      <c r="A44" s="66"/>
      <c r="B44" s="66"/>
      <c r="C44" s="68"/>
      <c r="D44" s="20"/>
      <c r="E44" s="4"/>
      <c r="F44" s="4"/>
      <c r="G44" s="4"/>
      <c r="H44" s="4"/>
      <c r="I44" s="28"/>
    </row>
    <row r="45" spans="1:9">
      <c r="A45" s="67"/>
      <c r="B45" s="67"/>
      <c r="C45" s="68"/>
      <c r="D45" s="20"/>
      <c r="E45" s="4"/>
      <c r="F45" s="4"/>
      <c r="G45" s="4"/>
      <c r="H45" s="4"/>
      <c r="I45" s="28"/>
    </row>
    <row r="46" spans="1:9">
      <c r="A46" s="66"/>
      <c r="B46" s="66"/>
      <c r="C46" s="68"/>
      <c r="D46" s="20"/>
      <c r="E46" s="4"/>
      <c r="F46" s="4"/>
      <c r="G46" s="4"/>
      <c r="H46" s="4"/>
      <c r="I46" s="28"/>
    </row>
    <row r="47" spans="1:9">
      <c r="A47" s="67"/>
      <c r="B47" s="67"/>
      <c r="C47" s="68"/>
      <c r="D47" s="20"/>
      <c r="E47" s="4"/>
      <c r="F47" s="4"/>
      <c r="G47" s="4"/>
      <c r="H47" s="4"/>
      <c r="I47" s="28"/>
    </row>
    <row r="48" spans="1:9">
      <c r="A48" s="66"/>
      <c r="B48" s="66"/>
      <c r="C48" s="68"/>
      <c r="D48" s="20"/>
      <c r="E48" s="4"/>
      <c r="F48" s="4"/>
      <c r="G48" s="4"/>
      <c r="H48" s="4"/>
      <c r="I48" s="28"/>
    </row>
    <row r="49" spans="1:9">
      <c r="A49" s="67"/>
      <c r="B49" s="67"/>
      <c r="C49" s="68"/>
      <c r="D49" s="20"/>
      <c r="E49" s="4"/>
      <c r="F49" s="4"/>
      <c r="G49" s="4"/>
      <c r="H49" s="4"/>
      <c r="I49" s="28"/>
    </row>
    <row r="50" spans="1:9">
      <c r="A50" s="66"/>
      <c r="B50" s="66"/>
      <c r="C50" s="68"/>
      <c r="D50" s="20"/>
      <c r="E50" s="4"/>
      <c r="F50" s="4"/>
      <c r="G50" s="4"/>
      <c r="H50" s="4"/>
      <c r="I50" s="28"/>
    </row>
    <row r="51" spans="1:9">
      <c r="A51" s="67"/>
      <c r="B51" s="67"/>
      <c r="C51" s="68"/>
      <c r="D51" s="20"/>
      <c r="E51" s="4"/>
      <c r="F51" s="4"/>
      <c r="G51" s="4"/>
      <c r="H51" s="4"/>
      <c r="I51" s="28"/>
    </row>
    <row r="52" spans="1:9">
      <c r="A52" s="66"/>
      <c r="B52" s="66"/>
      <c r="C52" s="68"/>
      <c r="D52" s="20"/>
      <c r="E52" s="4"/>
      <c r="F52" s="4"/>
      <c r="G52" s="4"/>
      <c r="H52" s="4"/>
      <c r="I52" s="28"/>
    </row>
    <row r="53" spans="1:9">
      <c r="A53" s="67"/>
      <c r="B53" s="67"/>
      <c r="C53" s="68"/>
      <c r="D53" s="20"/>
      <c r="E53" s="4"/>
      <c r="F53" s="4"/>
      <c r="G53" s="4"/>
      <c r="H53" s="4"/>
      <c r="I53" s="28"/>
    </row>
    <row r="54" spans="1:9">
      <c r="A54" s="66"/>
      <c r="B54" s="66"/>
      <c r="C54" s="68"/>
      <c r="D54" s="20"/>
      <c r="E54" s="4"/>
      <c r="F54" s="4"/>
      <c r="G54" s="4"/>
      <c r="H54" s="4"/>
      <c r="I54" s="28"/>
    </row>
    <row r="55" spans="1:9">
      <c r="A55" s="67"/>
      <c r="B55" s="67"/>
      <c r="C55" s="68"/>
      <c r="D55" s="20"/>
      <c r="E55" s="4"/>
      <c r="F55" s="4"/>
      <c r="G55" s="4"/>
      <c r="H55" s="4"/>
      <c r="I55" s="28"/>
    </row>
    <row r="56" spans="1:9">
      <c r="A56" s="66"/>
      <c r="B56" s="66"/>
      <c r="C56" s="68"/>
      <c r="D56" s="20"/>
      <c r="E56" s="4"/>
      <c r="F56" s="4"/>
      <c r="G56" s="4"/>
      <c r="H56" s="4"/>
      <c r="I56" s="28"/>
    </row>
    <row r="57" spans="1:9">
      <c r="A57" s="67"/>
      <c r="B57" s="67"/>
      <c r="C57" s="68"/>
      <c r="D57" s="20"/>
      <c r="E57" s="4"/>
      <c r="F57" s="4"/>
      <c r="G57" s="4"/>
      <c r="H57" s="4"/>
      <c r="I57" s="28"/>
    </row>
    <row r="58" spans="1:9">
      <c r="A58" s="66"/>
      <c r="B58" s="66"/>
      <c r="C58" s="68"/>
      <c r="D58" s="20"/>
      <c r="E58" s="4"/>
      <c r="F58" s="4"/>
      <c r="G58" s="4"/>
      <c r="H58" s="4"/>
      <c r="I58" s="28"/>
    </row>
    <row r="59" spans="1:9">
      <c r="A59" s="67"/>
      <c r="B59" s="67"/>
      <c r="C59" s="68"/>
      <c r="D59" s="20"/>
      <c r="E59" s="4"/>
      <c r="F59" s="4"/>
      <c r="G59" s="4"/>
      <c r="H59" s="4"/>
      <c r="I59" s="28"/>
    </row>
    <row r="60" spans="1:9">
      <c r="A60" s="66"/>
      <c r="B60" s="66"/>
      <c r="C60" s="68"/>
      <c r="D60" s="20"/>
      <c r="E60" s="4"/>
      <c r="F60" s="4"/>
      <c r="G60" s="4"/>
      <c r="H60" s="4"/>
      <c r="I60" s="28"/>
    </row>
    <row r="61" spans="1:9">
      <c r="A61" s="67"/>
      <c r="B61" s="67"/>
      <c r="C61" s="68"/>
      <c r="D61" s="20"/>
      <c r="E61" s="4"/>
      <c r="F61" s="4"/>
      <c r="G61" s="4"/>
      <c r="H61" s="4"/>
      <c r="I61" s="28"/>
    </row>
    <row r="62" spans="1:9">
      <c r="A62" s="66"/>
      <c r="B62" s="66"/>
      <c r="C62" s="68"/>
      <c r="D62" s="20"/>
      <c r="E62" s="4"/>
      <c r="F62" s="4"/>
      <c r="G62" s="4"/>
      <c r="H62" s="4"/>
      <c r="I62" s="28"/>
    </row>
    <row r="63" spans="1:9">
      <c r="A63" s="67"/>
      <c r="B63" s="67"/>
      <c r="C63" s="68"/>
      <c r="D63" s="20"/>
      <c r="E63" s="4"/>
      <c r="F63" s="4"/>
      <c r="G63" s="4"/>
      <c r="H63" s="4"/>
      <c r="I63" s="28"/>
    </row>
    <row r="64" spans="1:9">
      <c r="A64" s="66"/>
      <c r="B64" s="66"/>
      <c r="C64" s="68"/>
      <c r="D64" s="20"/>
      <c r="E64" s="4"/>
      <c r="F64" s="4"/>
      <c r="G64" s="4"/>
      <c r="H64" s="4"/>
      <c r="I64" s="28"/>
    </row>
    <row r="65" spans="1:9">
      <c r="A65" s="67"/>
      <c r="B65" s="67"/>
      <c r="C65" s="68"/>
      <c r="D65" s="20"/>
      <c r="E65" s="4"/>
      <c r="F65" s="4"/>
      <c r="G65" s="4"/>
      <c r="H65" s="4"/>
      <c r="I65" s="28"/>
    </row>
    <row r="66" spans="1:9">
      <c r="A66" s="66"/>
      <c r="B66" s="66"/>
      <c r="C66" s="68"/>
      <c r="D66" s="20"/>
      <c r="E66" s="4"/>
      <c r="F66" s="4"/>
      <c r="G66" s="4"/>
      <c r="H66" s="4"/>
      <c r="I66" s="28"/>
    </row>
    <row r="67" spans="1:9">
      <c r="A67" s="67"/>
      <c r="B67" s="67"/>
      <c r="C67" s="68"/>
      <c r="D67" s="20"/>
      <c r="E67" s="4"/>
      <c r="F67" s="4"/>
      <c r="G67" s="4"/>
      <c r="H67" s="4"/>
      <c r="I67" s="28"/>
    </row>
    <row r="68" spans="1:9">
      <c r="A68" s="66"/>
      <c r="B68" s="66"/>
      <c r="C68" s="68"/>
      <c r="D68" s="20"/>
      <c r="E68" s="4"/>
      <c r="F68" s="4"/>
      <c r="G68" s="4"/>
      <c r="H68" s="4"/>
      <c r="I68" s="28"/>
    </row>
    <row r="69" spans="1:9">
      <c r="A69" s="67"/>
      <c r="B69" s="67"/>
      <c r="C69" s="68"/>
      <c r="D69" s="20"/>
      <c r="E69" s="4"/>
      <c r="F69" s="4"/>
      <c r="G69" s="4"/>
      <c r="H69" s="4"/>
      <c r="I69" s="28"/>
    </row>
    <row r="70" spans="1:9">
      <c r="A70" s="66"/>
      <c r="B70" s="66"/>
      <c r="C70" s="68"/>
      <c r="D70" s="20"/>
      <c r="E70" s="4"/>
      <c r="F70" s="4"/>
      <c r="G70" s="4"/>
      <c r="H70" s="4"/>
      <c r="I70" s="28"/>
    </row>
    <row r="71" spans="1:9">
      <c r="A71" s="67"/>
      <c r="B71" s="67"/>
      <c r="C71" s="68"/>
      <c r="D71" s="20"/>
      <c r="E71" s="4"/>
      <c r="F71" s="4"/>
      <c r="G71" s="4"/>
      <c r="H71" s="4"/>
      <c r="I71" s="28"/>
    </row>
    <row r="72" spans="1:9">
      <c r="A72" s="66"/>
      <c r="B72" s="66"/>
      <c r="C72" s="68"/>
      <c r="D72" s="20"/>
      <c r="E72" s="4"/>
      <c r="F72" s="4"/>
      <c r="G72" s="4"/>
      <c r="H72" s="4"/>
      <c r="I72" s="28"/>
    </row>
    <row r="73" spans="1:9">
      <c r="A73" s="67"/>
      <c r="B73" s="67"/>
      <c r="C73" s="68"/>
      <c r="D73" s="20"/>
      <c r="E73" s="4"/>
      <c r="F73" s="4"/>
      <c r="G73" s="4"/>
      <c r="H73" s="4"/>
      <c r="I73" s="28"/>
    </row>
    <row r="74" spans="1:9">
      <c r="A74" s="66"/>
      <c r="B74" s="66"/>
      <c r="C74" s="68"/>
      <c r="D74" s="20"/>
      <c r="E74" s="4"/>
      <c r="F74" s="4"/>
      <c r="G74" s="4"/>
      <c r="H74" s="4"/>
      <c r="I74" s="28"/>
    </row>
    <row r="75" spans="1:9">
      <c r="A75" s="67"/>
      <c r="B75" s="67"/>
      <c r="C75" s="68"/>
      <c r="D75" s="20"/>
      <c r="E75" s="4"/>
      <c r="F75" s="4"/>
      <c r="G75" s="4"/>
      <c r="H75" s="4"/>
      <c r="I75" s="28"/>
    </row>
    <row r="76" spans="1:9">
      <c r="A76" s="66"/>
      <c r="B76" s="66"/>
      <c r="C76" s="68"/>
      <c r="D76" s="20"/>
      <c r="E76" s="4"/>
      <c r="F76" s="4"/>
      <c r="G76" s="4"/>
      <c r="H76" s="4"/>
      <c r="I76" s="28"/>
    </row>
    <row r="77" spans="1:9">
      <c r="A77" s="67"/>
      <c r="B77" s="67"/>
      <c r="C77" s="68"/>
      <c r="D77" s="20"/>
      <c r="E77" s="4"/>
      <c r="F77" s="4"/>
      <c r="G77" s="4"/>
      <c r="H77" s="4"/>
      <c r="I77" s="28"/>
    </row>
    <row r="78" spans="1:9">
      <c r="A78" s="66"/>
      <c r="B78" s="66"/>
      <c r="C78" s="68"/>
      <c r="D78" s="20"/>
      <c r="E78" s="4"/>
      <c r="F78" s="4"/>
      <c r="G78" s="4"/>
      <c r="H78" s="4"/>
      <c r="I78" s="28"/>
    </row>
    <row r="79" spans="1:9">
      <c r="A79" s="67"/>
      <c r="B79" s="67"/>
      <c r="C79" s="68"/>
      <c r="D79" s="20"/>
      <c r="E79" s="4"/>
      <c r="F79" s="4"/>
      <c r="G79" s="4"/>
      <c r="H79" s="4"/>
      <c r="I79" s="28"/>
    </row>
    <row r="80" spans="1:9">
      <c r="A80" s="66"/>
      <c r="B80" s="66"/>
      <c r="C80" s="68"/>
      <c r="D80" s="20"/>
      <c r="E80" s="4"/>
      <c r="F80" s="4"/>
      <c r="G80" s="4"/>
      <c r="H80" s="4"/>
      <c r="I80" s="28"/>
    </row>
    <row r="81" spans="1:9">
      <c r="A81" s="67"/>
      <c r="B81" s="67"/>
      <c r="C81" s="68"/>
      <c r="D81" s="20"/>
      <c r="E81" s="4"/>
      <c r="F81" s="4"/>
      <c r="G81" s="4"/>
      <c r="H81" s="4"/>
      <c r="I81" s="28"/>
    </row>
    <row r="82" spans="1:9">
      <c r="A82" s="66"/>
      <c r="B82" s="66"/>
      <c r="C82" s="68"/>
      <c r="D82" s="20"/>
      <c r="E82" s="4"/>
      <c r="F82" s="4"/>
      <c r="G82" s="4"/>
      <c r="H82" s="4"/>
      <c r="I82" s="28"/>
    </row>
    <row r="83" spans="1:9">
      <c r="A83" s="67"/>
      <c r="B83" s="67"/>
      <c r="C83" s="68"/>
      <c r="D83" s="20"/>
      <c r="E83" s="4"/>
      <c r="F83" s="4"/>
      <c r="G83" s="4"/>
      <c r="H83" s="4"/>
      <c r="I83" s="28"/>
    </row>
    <row r="84" spans="1:9">
      <c r="A84" s="66"/>
      <c r="B84" s="66"/>
      <c r="C84" s="68"/>
      <c r="D84" s="20"/>
      <c r="E84" s="4"/>
      <c r="F84" s="4"/>
      <c r="G84" s="4"/>
      <c r="H84" s="4"/>
      <c r="I84" s="28"/>
    </row>
    <row r="85" spans="1:9">
      <c r="A85" s="67"/>
      <c r="B85" s="67"/>
      <c r="C85" s="68"/>
      <c r="D85" s="20"/>
      <c r="E85" s="4"/>
      <c r="F85" s="4"/>
      <c r="G85" s="4"/>
      <c r="H85" s="4"/>
      <c r="I85" s="28"/>
    </row>
    <row r="86" spans="1:9">
      <c r="A86" s="66"/>
      <c r="B86" s="66"/>
      <c r="C86" s="68"/>
      <c r="D86" s="20"/>
      <c r="E86" s="4"/>
      <c r="F86" s="4"/>
      <c r="G86" s="4"/>
      <c r="H86" s="4"/>
      <c r="I86" s="28"/>
    </row>
    <row r="87" spans="1:9">
      <c r="A87" s="67"/>
      <c r="B87" s="67"/>
      <c r="C87" s="68"/>
      <c r="D87" s="20"/>
      <c r="E87" s="4"/>
      <c r="F87" s="4"/>
      <c r="G87" s="4"/>
      <c r="H87" s="4"/>
      <c r="I87" s="28"/>
    </row>
    <row r="88" spans="1:9">
      <c r="A88" s="66"/>
      <c r="B88" s="66"/>
      <c r="C88" s="68"/>
      <c r="D88" s="20"/>
      <c r="E88" s="4"/>
      <c r="F88" s="4"/>
      <c r="G88" s="4"/>
      <c r="H88" s="4"/>
      <c r="I88" s="28"/>
    </row>
    <row r="89" spans="1:9">
      <c r="A89" s="67"/>
      <c r="B89" s="67"/>
      <c r="C89" s="68"/>
      <c r="D89" s="20"/>
      <c r="E89" s="4"/>
      <c r="F89" s="4"/>
      <c r="G89" s="4"/>
      <c r="H89" s="4"/>
      <c r="I89" s="28"/>
    </row>
    <row r="90" spans="1:9">
      <c r="A90" s="66"/>
      <c r="B90" s="66"/>
      <c r="C90" s="68"/>
      <c r="D90" s="20"/>
      <c r="E90" s="4"/>
      <c r="F90" s="4"/>
      <c r="G90" s="4"/>
      <c r="H90" s="4"/>
      <c r="I90" s="28"/>
    </row>
    <row r="91" spans="1:9">
      <c r="A91" s="67"/>
      <c r="B91" s="67"/>
      <c r="C91" s="68"/>
      <c r="D91" s="20"/>
      <c r="E91" s="4"/>
      <c r="F91" s="4"/>
      <c r="G91" s="4"/>
      <c r="H91" s="4"/>
      <c r="I91" s="28"/>
    </row>
    <row r="92" spans="1:9">
      <c r="A92" s="66"/>
      <c r="B92" s="66"/>
      <c r="C92" s="68"/>
      <c r="D92" s="20"/>
      <c r="E92" s="4"/>
      <c r="F92" s="4"/>
      <c r="G92" s="4"/>
      <c r="H92" s="4"/>
      <c r="I92" s="28"/>
    </row>
    <row r="93" spans="1:9">
      <c r="A93" s="67"/>
      <c r="B93" s="67"/>
      <c r="C93" s="68"/>
      <c r="D93" s="20"/>
      <c r="E93" s="4"/>
      <c r="F93" s="4"/>
      <c r="G93" s="4"/>
      <c r="H93" s="4"/>
      <c r="I93" s="28"/>
    </row>
    <row r="94" spans="1:9">
      <c r="A94" s="66"/>
      <c r="B94" s="66"/>
      <c r="C94" s="68"/>
      <c r="D94" s="20"/>
      <c r="E94" s="4"/>
      <c r="F94" s="4"/>
      <c r="G94" s="4"/>
      <c r="H94" s="4"/>
      <c r="I94" s="28"/>
    </row>
    <row r="95" spans="1:9">
      <c r="A95" s="67"/>
      <c r="B95" s="67"/>
      <c r="C95" s="68"/>
      <c r="D95" s="20"/>
      <c r="E95" s="4"/>
      <c r="F95" s="4"/>
      <c r="G95" s="4"/>
      <c r="H95" s="4"/>
      <c r="I95" s="28"/>
    </row>
    <row r="96" spans="1:9">
      <c r="A96" s="66"/>
      <c r="B96" s="66"/>
      <c r="C96" s="68"/>
      <c r="D96" s="20"/>
      <c r="E96" s="4"/>
      <c r="F96" s="4"/>
      <c r="G96" s="4"/>
      <c r="H96" s="4"/>
      <c r="I96" s="28"/>
    </row>
    <row r="97" spans="1:9">
      <c r="A97" s="67"/>
      <c r="B97" s="67"/>
      <c r="C97" s="68"/>
      <c r="D97" s="20"/>
      <c r="E97" s="4"/>
      <c r="F97" s="4"/>
      <c r="G97" s="4"/>
      <c r="H97" s="4"/>
      <c r="I97" s="28"/>
    </row>
    <row r="98" spans="1:9">
      <c r="A98" s="66"/>
      <c r="B98" s="66"/>
      <c r="C98" s="68"/>
      <c r="D98" s="20"/>
      <c r="E98" s="4"/>
      <c r="F98" s="4"/>
      <c r="G98" s="4"/>
      <c r="H98" s="4"/>
      <c r="I98" s="28"/>
    </row>
    <row r="99" spans="1:9">
      <c r="A99" s="67"/>
      <c r="B99" s="67"/>
      <c r="C99" s="68"/>
      <c r="D99" s="20"/>
      <c r="E99" s="4"/>
      <c r="F99" s="4"/>
      <c r="G99" s="4"/>
      <c r="H99" s="4"/>
      <c r="I99" s="28"/>
    </row>
    <row r="100" spans="1:9">
      <c r="A100" s="66"/>
      <c r="B100" s="66"/>
      <c r="C100" s="68"/>
      <c r="D100" s="20"/>
      <c r="E100" s="4"/>
      <c r="F100" s="4"/>
      <c r="G100" s="4"/>
      <c r="H100" s="4"/>
      <c r="I100" s="28"/>
    </row>
    <row r="101" spans="1:9">
      <c r="A101" s="67"/>
      <c r="B101" s="67"/>
      <c r="C101" s="68"/>
      <c r="D101" s="20"/>
      <c r="E101" s="4"/>
      <c r="F101" s="4"/>
      <c r="G101" s="4"/>
      <c r="H101" s="4"/>
      <c r="I101" s="28"/>
    </row>
  </sheetData>
  <mergeCells count="158">
    <mergeCell ref="A100:A101"/>
    <mergeCell ref="B100:B101"/>
    <mergeCell ref="C100:C101"/>
    <mergeCell ref="A94:A95"/>
    <mergeCell ref="B94:B95"/>
    <mergeCell ref="C94:C95"/>
    <mergeCell ref="A96:A97"/>
    <mergeCell ref="B96:B97"/>
    <mergeCell ref="C96:C97"/>
    <mergeCell ref="A98:A99"/>
    <mergeCell ref="B98:B99"/>
    <mergeCell ref="C98:C99"/>
    <mergeCell ref="A88:A89"/>
    <mergeCell ref="B88:B89"/>
    <mergeCell ref="C88:C89"/>
    <mergeCell ref="A90:A91"/>
    <mergeCell ref="B90:B91"/>
    <mergeCell ref="C90:C91"/>
    <mergeCell ref="A92:A93"/>
    <mergeCell ref="B92:B93"/>
    <mergeCell ref="C92:C93"/>
    <mergeCell ref="A82:A83"/>
    <mergeCell ref="B82:B83"/>
    <mergeCell ref="C82:C83"/>
    <mergeCell ref="A84:A85"/>
    <mergeCell ref="B84:B85"/>
    <mergeCell ref="C84:C85"/>
    <mergeCell ref="A86:A87"/>
    <mergeCell ref="B86:B87"/>
    <mergeCell ref="C86:C87"/>
    <mergeCell ref="A76:A77"/>
    <mergeCell ref="B76:B77"/>
    <mergeCell ref="C76:C77"/>
    <mergeCell ref="A78:A79"/>
    <mergeCell ref="B78:B79"/>
    <mergeCell ref="C78:C79"/>
    <mergeCell ref="A80:A81"/>
    <mergeCell ref="B80:B81"/>
    <mergeCell ref="C80:C81"/>
    <mergeCell ref="A70:A71"/>
    <mergeCell ref="B70:B71"/>
    <mergeCell ref="C70:C71"/>
    <mergeCell ref="A72:A73"/>
    <mergeCell ref="B72:B73"/>
    <mergeCell ref="C72:C73"/>
    <mergeCell ref="A74:A75"/>
    <mergeCell ref="B74:B75"/>
    <mergeCell ref="C74:C75"/>
    <mergeCell ref="A64:A65"/>
    <mergeCell ref="B64:B65"/>
    <mergeCell ref="C64:C65"/>
    <mergeCell ref="A66:A67"/>
    <mergeCell ref="B66:B67"/>
    <mergeCell ref="C66:C67"/>
    <mergeCell ref="A68:A69"/>
    <mergeCell ref="B68:B69"/>
    <mergeCell ref="C68:C69"/>
    <mergeCell ref="A6:A7"/>
    <mergeCell ref="B6:B7"/>
    <mergeCell ref="C6:C7"/>
    <mergeCell ref="A16:A17"/>
    <mergeCell ref="B16:B17"/>
    <mergeCell ref="C16:C17"/>
    <mergeCell ref="A8:A9"/>
    <mergeCell ref="B8:B9"/>
    <mergeCell ref="C8:C9"/>
    <mergeCell ref="D12:D13"/>
    <mergeCell ref="A14:A15"/>
    <mergeCell ref="B14:B15"/>
    <mergeCell ref="C14:C15"/>
    <mergeCell ref="D14:D15"/>
    <mergeCell ref="A22:A23"/>
    <mergeCell ref="B22:B23"/>
    <mergeCell ref="C22:C23"/>
    <mergeCell ref="A18:A19"/>
    <mergeCell ref="B18:B19"/>
    <mergeCell ref="C18:C19"/>
    <mergeCell ref="D8:D9"/>
    <mergeCell ref="A1:I1"/>
    <mergeCell ref="A2:B2"/>
    <mergeCell ref="E2:I2"/>
    <mergeCell ref="A3:B3"/>
    <mergeCell ref="E3:I4"/>
    <mergeCell ref="A4:B4"/>
    <mergeCell ref="D6:D7"/>
    <mergeCell ref="A28:A29"/>
    <mergeCell ref="B28:B29"/>
    <mergeCell ref="C28:C29"/>
    <mergeCell ref="D16:D17"/>
    <mergeCell ref="D18:D19"/>
    <mergeCell ref="A20:A21"/>
    <mergeCell ref="B20:B21"/>
    <mergeCell ref="C20:C21"/>
    <mergeCell ref="D20:D21"/>
    <mergeCell ref="A10:A11"/>
    <mergeCell ref="B10:B11"/>
    <mergeCell ref="C10:C11"/>
    <mergeCell ref="D10:D11"/>
    <mergeCell ref="A12:A13"/>
    <mergeCell ref="B12:B13"/>
    <mergeCell ref="C12:C13"/>
    <mergeCell ref="A30:A31"/>
    <mergeCell ref="B30:B31"/>
    <mergeCell ref="C30:C31"/>
    <mergeCell ref="A24:A25"/>
    <mergeCell ref="B24:B25"/>
    <mergeCell ref="C24:C25"/>
    <mergeCell ref="A26:A27"/>
    <mergeCell ref="B26:B27"/>
    <mergeCell ref="C26:C27"/>
    <mergeCell ref="A36:A37"/>
    <mergeCell ref="B36:B37"/>
    <mergeCell ref="C36:C37"/>
    <mergeCell ref="A38:A39"/>
    <mergeCell ref="B38:B39"/>
    <mergeCell ref="C38:C39"/>
    <mergeCell ref="A32:A33"/>
    <mergeCell ref="B32:B33"/>
    <mergeCell ref="C32:C33"/>
    <mergeCell ref="A34:A35"/>
    <mergeCell ref="B34:B35"/>
    <mergeCell ref="C34:C35"/>
    <mergeCell ref="A44:A45"/>
    <mergeCell ref="B44:B45"/>
    <mergeCell ref="C44:C45"/>
    <mergeCell ref="A46:A47"/>
    <mergeCell ref="B46:B47"/>
    <mergeCell ref="C46:C47"/>
    <mergeCell ref="A40:A41"/>
    <mergeCell ref="B40:B41"/>
    <mergeCell ref="C40:C41"/>
    <mergeCell ref="A42:A43"/>
    <mergeCell ref="B42:B43"/>
    <mergeCell ref="C42:C43"/>
    <mergeCell ref="A52:A53"/>
    <mergeCell ref="B52:B53"/>
    <mergeCell ref="C52:C53"/>
    <mergeCell ref="A54:A55"/>
    <mergeCell ref="B54:B55"/>
    <mergeCell ref="C54:C55"/>
    <mergeCell ref="A48:A49"/>
    <mergeCell ref="B48:B49"/>
    <mergeCell ref="C48:C49"/>
    <mergeCell ref="A50:A51"/>
    <mergeCell ref="B50:B51"/>
    <mergeCell ref="C50:C51"/>
    <mergeCell ref="A60:A61"/>
    <mergeCell ref="B60:B61"/>
    <mergeCell ref="C60:C61"/>
    <mergeCell ref="A62:A63"/>
    <mergeCell ref="B62:B63"/>
    <mergeCell ref="C62:C63"/>
    <mergeCell ref="A56:A57"/>
    <mergeCell ref="B56:B57"/>
    <mergeCell ref="C56:C57"/>
    <mergeCell ref="A58:A59"/>
    <mergeCell ref="B58:B59"/>
    <mergeCell ref="C58:C59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018A7-5196-4013-A892-C181FF6DB165}">
  <dimension ref="A1:I73"/>
  <sheetViews>
    <sheetView view="pageBreakPreview" zoomScale="85" zoomScaleNormal="100" zoomScaleSheetLayoutView="85" workbookViewId="0">
      <selection activeCell="F12" sqref="F12"/>
    </sheetView>
  </sheetViews>
  <sheetFormatPr defaultColWidth="9" defaultRowHeight="16.5"/>
  <cols>
    <col min="1" max="1" width="6.125" style="1" customWidth="1"/>
    <col min="2" max="2" width="7.625" style="1" customWidth="1"/>
    <col min="3" max="3" width="18" style="1" customWidth="1"/>
    <col min="4" max="4" width="22.75" style="21" customWidth="1"/>
    <col min="5" max="5" width="13" style="1" bestFit="1" customWidth="1"/>
    <col min="6" max="6" width="14.375" style="1" customWidth="1"/>
    <col min="7" max="7" width="18" style="1" customWidth="1"/>
    <col min="8" max="8" width="21.75" style="1" customWidth="1"/>
    <col min="9" max="9" width="18" style="29" customWidth="1"/>
    <col min="10" max="16384" width="9" style="1"/>
  </cols>
  <sheetData>
    <row r="1" spans="1:9" s="2" customFormat="1" ht="31.5">
      <c r="A1" s="61" t="s">
        <v>15</v>
      </c>
      <c r="B1" s="61"/>
      <c r="C1" s="61"/>
      <c r="D1" s="61"/>
      <c r="E1" s="61"/>
      <c r="F1" s="61"/>
      <c r="G1" s="61"/>
      <c r="H1" s="61"/>
      <c r="I1" s="61"/>
    </row>
    <row r="2" spans="1:9" s="2" customFormat="1">
      <c r="A2" s="64" t="s">
        <v>21</v>
      </c>
      <c r="B2" s="64"/>
      <c r="C2" s="9"/>
      <c r="D2" s="17"/>
      <c r="E2" s="64" t="s">
        <v>22</v>
      </c>
      <c r="F2" s="64"/>
      <c r="G2" s="64"/>
      <c r="H2" s="64"/>
      <c r="I2" s="64"/>
    </row>
    <row r="3" spans="1:9" s="2" customFormat="1">
      <c r="A3" s="64" t="s">
        <v>20</v>
      </c>
      <c r="B3" s="64"/>
      <c r="C3" s="9"/>
      <c r="D3" s="17"/>
      <c r="E3" s="65"/>
      <c r="F3" s="65"/>
      <c r="G3" s="65"/>
      <c r="H3" s="65"/>
      <c r="I3" s="65"/>
    </row>
    <row r="4" spans="1:9" s="2" customFormat="1">
      <c r="A4" s="64" t="s">
        <v>19</v>
      </c>
      <c r="B4" s="64"/>
      <c r="C4" s="9"/>
      <c r="D4" s="17"/>
      <c r="E4" s="65"/>
      <c r="F4" s="65"/>
      <c r="G4" s="65"/>
      <c r="H4" s="65"/>
      <c r="I4" s="65"/>
    </row>
    <row r="5" spans="1:9">
      <c r="A5" s="8" t="s">
        <v>8</v>
      </c>
      <c r="B5" s="8" t="s">
        <v>9</v>
      </c>
      <c r="C5" s="5" t="s">
        <v>0</v>
      </c>
      <c r="D5" s="18"/>
      <c r="E5" s="18" t="s">
        <v>43</v>
      </c>
      <c r="F5" s="18" t="s">
        <v>42</v>
      </c>
      <c r="G5" s="5" t="s">
        <v>10</v>
      </c>
      <c r="H5" s="76" t="s">
        <v>39</v>
      </c>
      <c r="I5" s="73" t="s">
        <v>11</v>
      </c>
    </row>
    <row r="6" spans="1:9">
      <c r="A6" s="8"/>
      <c r="B6" s="8"/>
      <c r="C6" s="5"/>
      <c r="D6" s="36"/>
      <c r="E6" s="18" t="s">
        <v>40</v>
      </c>
      <c r="F6" s="18" t="s">
        <v>40</v>
      </c>
      <c r="G6" s="5" t="s">
        <v>44</v>
      </c>
      <c r="H6" s="77"/>
      <c r="I6" s="74"/>
    </row>
    <row r="7" spans="1:9">
      <c r="A7" s="8"/>
      <c r="B7" s="8"/>
      <c r="C7" s="5"/>
      <c r="D7" s="36"/>
      <c r="E7" s="18" t="s">
        <v>41</v>
      </c>
      <c r="F7" s="18" t="s">
        <v>41</v>
      </c>
      <c r="G7" s="5" t="s">
        <v>45</v>
      </c>
      <c r="H7" s="78"/>
      <c r="I7" s="75"/>
    </row>
    <row r="8" spans="1:9" ht="35.25" customHeight="1">
      <c r="A8" s="68">
        <v>1</v>
      </c>
      <c r="B8" s="68" t="s">
        <v>53</v>
      </c>
      <c r="C8" s="68" t="s">
        <v>54</v>
      </c>
      <c r="D8" s="69" t="s">
        <v>55</v>
      </c>
      <c r="E8" s="4"/>
      <c r="F8" s="4"/>
      <c r="G8" s="31" t="str">
        <f t="shared" ref="G8:G9" si="0">IFERROR(SUBSTITUTE(F8,"V","")/SUBSTITUTE(E8,"V","")*100, "")</f>
        <v/>
      </c>
      <c r="H8" s="4" t="s">
        <v>30</v>
      </c>
      <c r="I8" s="28" t="str">
        <f t="shared" ref="I8" si="1">IFERROR(IF(G8 &lt;= VALUE(SUBSTITUTE(SUBSTITUTE(H8,"≤ ",""),"%","")), "Pass", "Fail"), "")</f>
        <v>Fail</v>
      </c>
    </row>
    <row r="9" spans="1:9">
      <c r="A9" s="68"/>
      <c r="B9" s="68"/>
      <c r="C9" s="68"/>
      <c r="D9" s="70"/>
      <c r="E9" s="4"/>
      <c r="F9" s="4"/>
      <c r="G9" s="31" t="str">
        <f t="shared" si="0"/>
        <v/>
      </c>
      <c r="H9" s="4" t="s">
        <v>38</v>
      </c>
      <c r="I9" s="28" t="str">
        <f>IFERROR(IF(G9 &gt;= VALUE(SUBSTITUTE(SUBSTITUTE(H9,"≥ ",""),"%","")), "Pass", "Fail"), "")</f>
        <v>Pass</v>
      </c>
    </row>
    <row r="10" spans="1:9" ht="35.25" customHeight="1">
      <c r="A10" s="68"/>
      <c r="B10" s="66"/>
      <c r="C10" s="68"/>
      <c r="D10" s="69"/>
      <c r="E10" s="4"/>
      <c r="F10" s="4"/>
      <c r="G10" s="31"/>
      <c r="H10" s="4"/>
      <c r="I10" s="28"/>
    </row>
    <row r="11" spans="1:9">
      <c r="A11" s="68"/>
      <c r="B11" s="67"/>
      <c r="C11" s="68"/>
      <c r="D11" s="70"/>
      <c r="E11" s="4"/>
      <c r="F11" s="4"/>
      <c r="G11" s="31"/>
      <c r="H11" s="4"/>
      <c r="I11" s="28"/>
    </row>
    <row r="12" spans="1:9" ht="52.9" customHeight="1">
      <c r="A12" s="68"/>
      <c r="B12" s="68"/>
      <c r="C12" s="68"/>
      <c r="D12" s="69"/>
      <c r="E12" s="22"/>
      <c r="F12" s="4"/>
      <c r="G12" s="31"/>
      <c r="H12" s="4"/>
      <c r="I12" s="28"/>
    </row>
    <row r="13" spans="1:9">
      <c r="A13" s="68"/>
      <c r="B13" s="68"/>
      <c r="C13" s="68"/>
      <c r="D13" s="70"/>
      <c r="E13" s="22"/>
      <c r="F13" s="4"/>
      <c r="G13" s="31"/>
      <c r="H13" s="4"/>
      <c r="I13" s="28"/>
    </row>
    <row r="14" spans="1:9" ht="52.9" customHeight="1">
      <c r="A14" s="68"/>
      <c r="B14" s="66"/>
      <c r="C14" s="68"/>
      <c r="D14" s="69"/>
      <c r="E14" s="22"/>
      <c r="F14" s="4"/>
      <c r="G14" s="31"/>
      <c r="H14" s="4"/>
      <c r="I14" s="28"/>
    </row>
    <row r="15" spans="1:9">
      <c r="A15" s="68"/>
      <c r="B15" s="67"/>
      <c r="C15" s="68"/>
      <c r="D15" s="70"/>
      <c r="E15" s="22"/>
      <c r="F15" s="4"/>
      <c r="G15" s="31"/>
      <c r="H15" s="4"/>
      <c r="I15" s="28"/>
    </row>
    <row r="16" spans="1:9" ht="52.9" customHeight="1">
      <c r="A16" s="68"/>
      <c r="B16" s="66"/>
      <c r="C16" s="68"/>
      <c r="D16" s="69"/>
      <c r="E16" s="22"/>
      <c r="F16" s="4"/>
      <c r="G16" s="31"/>
      <c r="H16" s="4"/>
      <c r="I16" s="28"/>
    </row>
    <row r="17" spans="1:9">
      <c r="A17" s="68"/>
      <c r="B17" s="67"/>
      <c r="C17" s="68"/>
      <c r="D17" s="70"/>
      <c r="E17" s="22"/>
      <c r="F17" s="4"/>
      <c r="G17" s="31"/>
      <c r="H17" s="4"/>
      <c r="I17" s="28"/>
    </row>
    <row r="18" spans="1:9" ht="52.9" customHeight="1">
      <c r="A18" s="68"/>
      <c r="B18" s="66"/>
      <c r="C18" s="68"/>
      <c r="D18" s="69"/>
      <c r="E18" s="22"/>
      <c r="F18" s="4"/>
      <c r="G18" s="31"/>
      <c r="H18" s="4"/>
      <c r="I18" s="28"/>
    </row>
    <row r="19" spans="1:9">
      <c r="A19" s="68"/>
      <c r="B19" s="67"/>
      <c r="C19" s="68"/>
      <c r="D19" s="70"/>
      <c r="E19" s="22"/>
      <c r="F19" s="4"/>
      <c r="G19" s="31"/>
      <c r="H19" s="4"/>
      <c r="I19" s="28"/>
    </row>
    <row r="20" spans="1:9" ht="52.9" customHeight="1">
      <c r="A20" s="68"/>
      <c r="B20" s="66"/>
      <c r="C20" s="68"/>
      <c r="D20" s="69"/>
      <c r="E20" s="22"/>
      <c r="F20" s="4"/>
      <c r="G20" s="31"/>
      <c r="H20" s="4"/>
      <c r="I20" s="28"/>
    </row>
    <row r="21" spans="1:9">
      <c r="A21" s="68"/>
      <c r="B21" s="67"/>
      <c r="C21" s="68"/>
      <c r="D21" s="70"/>
      <c r="E21" s="22"/>
      <c r="F21" s="4"/>
      <c r="G21" s="31"/>
      <c r="H21" s="4"/>
      <c r="I21" s="28"/>
    </row>
    <row r="22" spans="1:9" ht="52.9" customHeight="1">
      <c r="A22" s="68"/>
      <c r="B22" s="80"/>
      <c r="C22" s="79"/>
      <c r="D22" s="71"/>
      <c r="E22" s="22"/>
      <c r="F22" s="22"/>
      <c r="G22" s="31"/>
      <c r="H22" s="4"/>
      <c r="I22" s="28"/>
    </row>
    <row r="23" spans="1:9">
      <c r="A23" s="68"/>
      <c r="B23" s="81"/>
      <c r="C23" s="79"/>
      <c r="D23" s="72"/>
      <c r="E23" s="22"/>
      <c r="F23" s="22"/>
      <c r="G23" s="31"/>
      <c r="H23" s="4"/>
      <c r="I23" s="28"/>
    </row>
    <row r="24" spans="1:9" ht="52.9" customHeight="1">
      <c r="A24" s="68"/>
      <c r="B24" s="66"/>
      <c r="C24" s="68"/>
      <c r="D24" s="69"/>
      <c r="E24" s="22"/>
      <c r="F24" s="4"/>
      <c r="G24" s="31"/>
      <c r="H24" s="4"/>
      <c r="I24" s="28"/>
    </row>
    <row r="25" spans="1:9">
      <c r="A25" s="68"/>
      <c r="B25" s="67"/>
      <c r="C25" s="68"/>
      <c r="D25" s="70"/>
      <c r="E25" s="22"/>
      <c r="F25" s="4"/>
      <c r="G25" s="31"/>
      <c r="H25" s="4"/>
      <c r="I25" s="28"/>
    </row>
    <row r="26" spans="1:9" ht="35.25" customHeight="1">
      <c r="A26" s="68"/>
      <c r="B26" s="66"/>
      <c r="C26" s="68"/>
      <c r="D26" s="69"/>
      <c r="E26" s="4"/>
      <c r="F26" s="4"/>
      <c r="G26" s="31"/>
      <c r="H26" s="4"/>
      <c r="I26" s="28"/>
    </row>
    <row r="27" spans="1:9">
      <c r="A27" s="68"/>
      <c r="B27" s="67"/>
      <c r="C27" s="68"/>
      <c r="D27" s="70"/>
      <c r="E27" s="4"/>
      <c r="F27" s="4"/>
      <c r="G27" s="31"/>
      <c r="H27" s="4"/>
      <c r="I27" s="28"/>
    </row>
    <row r="28" spans="1:9" ht="52.9" customHeight="1">
      <c r="A28" s="68"/>
      <c r="B28" s="68"/>
      <c r="C28" s="68"/>
      <c r="D28" s="69"/>
      <c r="E28" s="22"/>
      <c r="F28" s="4"/>
      <c r="G28" s="31"/>
      <c r="H28" s="4"/>
      <c r="I28" s="28"/>
    </row>
    <row r="29" spans="1:9">
      <c r="A29" s="68"/>
      <c r="B29" s="68"/>
      <c r="C29" s="68"/>
      <c r="D29" s="70"/>
      <c r="E29" s="22"/>
      <c r="F29" s="4"/>
      <c r="G29" s="31"/>
      <c r="H29" s="4"/>
      <c r="I29" s="28"/>
    </row>
    <row r="30" spans="1:9" ht="52.9" customHeight="1">
      <c r="A30" s="68"/>
      <c r="B30" s="66"/>
      <c r="C30" s="68"/>
      <c r="D30" s="69"/>
      <c r="E30" s="22"/>
      <c r="F30" s="4"/>
      <c r="G30" s="31"/>
      <c r="H30" s="4"/>
      <c r="I30" s="28"/>
    </row>
    <row r="31" spans="1:9">
      <c r="A31" s="68"/>
      <c r="B31" s="67"/>
      <c r="C31" s="68"/>
      <c r="D31" s="70"/>
      <c r="E31" s="22"/>
      <c r="F31" s="4"/>
      <c r="G31" s="31"/>
      <c r="H31" s="4"/>
      <c r="I31" s="28"/>
    </row>
    <row r="32" spans="1:9" ht="52.9" customHeight="1">
      <c r="A32" s="68"/>
      <c r="B32" s="66"/>
      <c r="C32" s="68"/>
      <c r="D32" s="69"/>
      <c r="E32" s="22"/>
      <c r="F32" s="4"/>
      <c r="G32" s="31"/>
      <c r="H32" s="4"/>
      <c r="I32" s="28"/>
    </row>
    <row r="33" spans="1:9">
      <c r="A33" s="68"/>
      <c r="B33" s="67"/>
      <c r="C33" s="68"/>
      <c r="D33" s="70"/>
      <c r="E33" s="22"/>
      <c r="F33" s="4"/>
      <c r="G33" s="31"/>
      <c r="H33" s="4"/>
      <c r="I33" s="28"/>
    </row>
    <row r="34" spans="1:9" ht="52.9" customHeight="1">
      <c r="A34" s="68"/>
      <c r="B34" s="66"/>
      <c r="C34" s="68"/>
      <c r="D34" s="69"/>
      <c r="E34" s="22"/>
      <c r="F34" s="4"/>
      <c r="G34" s="31"/>
      <c r="H34" s="4"/>
      <c r="I34" s="28"/>
    </row>
    <row r="35" spans="1:9">
      <c r="A35" s="68"/>
      <c r="B35" s="67"/>
      <c r="C35" s="68"/>
      <c r="D35" s="70"/>
      <c r="E35" s="22"/>
      <c r="F35" s="4"/>
      <c r="G35" s="31"/>
      <c r="H35" s="4"/>
      <c r="I35" s="28"/>
    </row>
    <row r="36" spans="1:9" ht="35.25" customHeight="1">
      <c r="A36" s="68"/>
      <c r="B36" s="66"/>
      <c r="C36" s="68"/>
      <c r="D36" s="69"/>
      <c r="E36" s="4"/>
      <c r="F36" s="4"/>
      <c r="G36" s="31"/>
      <c r="H36" s="4"/>
      <c r="I36" s="28"/>
    </row>
    <row r="37" spans="1:9">
      <c r="A37" s="68"/>
      <c r="B37" s="67"/>
      <c r="C37" s="68"/>
      <c r="D37" s="70"/>
      <c r="E37" s="4"/>
      <c r="F37" s="4"/>
      <c r="G37" s="31"/>
      <c r="H37" s="4"/>
      <c r="I37" s="28"/>
    </row>
    <row r="38" spans="1:9" ht="52.9" customHeight="1">
      <c r="A38" s="68"/>
      <c r="B38" s="68"/>
      <c r="C38" s="68"/>
      <c r="D38" s="69"/>
      <c r="E38" s="22"/>
      <c r="F38" s="4"/>
      <c r="G38" s="31"/>
      <c r="H38" s="4"/>
      <c r="I38" s="28"/>
    </row>
    <row r="39" spans="1:9">
      <c r="A39" s="68"/>
      <c r="B39" s="68"/>
      <c r="C39" s="68"/>
      <c r="D39" s="70"/>
      <c r="E39" s="22"/>
      <c r="F39" s="4"/>
      <c r="G39" s="31"/>
      <c r="H39" s="4"/>
      <c r="I39" s="28"/>
    </row>
    <row r="40" spans="1:9" ht="52.9" customHeight="1">
      <c r="A40" s="68"/>
      <c r="B40" s="66"/>
      <c r="C40" s="68"/>
      <c r="D40" s="69"/>
      <c r="E40" s="22"/>
      <c r="F40" s="4"/>
      <c r="G40" s="31"/>
      <c r="H40" s="4"/>
      <c r="I40" s="28"/>
    </row>
    <row r="41" spans="1:9">
      <c r="A41" s="68"/>
      <c r="B41" s="67"/>
      <c r="C41" s="68"/>
      <c r="D41" s="70"/>
      <c r="E41" s="22"/>
      <c r="F41" s="4"/>
      <c r="G41" s="31"/>
      <c r="H41" s="4"/>
      <c r="I41" s="28"/>
    </row>
    <row r="42" spans="1:9" ht="52.9" customHeight="1">
      <c r="A42" s="68"/>
      <c r="B42" s="66"/>
      <c r="C42" s="68"/>
      <c r="D42" s="69"/>
      <c r="E42" s="22"/>
      <c r="F42" s="4"/>
      <c r="G42" s="31"/>
      <c r="H42" s="4"/>
      <c r="I42" s="28"/>
    </row>
    <row r="43" spans="1:9">
      <c r="A43" s="68"/>
      <c r="B43" s="67"/>
      <c r="C43" s="68"/>
      <c r="D43" s="70"/>
      <c r="E43" s="22"/>
      <c r="F43" s="4"/>
      <c r="G43" s="31"/>
      <c r="H43" s="4"/>
      <c r="I43" s="28"/>
    </row>
    <row r="44" spans="1:9" ht="52.9" customHeight="1">
      <c r="A44" s="68"/>
      <c r="B44" s="66"/>
      <c r="C44" s="68"/>
      <c r="D44" s="69"/>
      <c r="E44" s="22"/>
      <c r="F44" s="4"/>
      <c r="G44" s="31"/>
      <c r="H44" s="4"/>
      <c r="I44" s="28"/>
    </row>
    <row r="45" spans="1:9">
      <c r="A45" s="68"/>
      <c r="B45" s="67"/>
      <c r="C45" s="68"/>
      <c r="D45" s="70"/>
      <c r="E45" s="22"/>
      <c r="F45" s="4"/>
      <c r="G45" s="31"/>
      <c r="H45" s="4"/>
      <c r="I45" s="28"/>
    </row>
    <row r="46" spans="1:9" ht="35.25" customHeight="1">
      <c r="A46" s="68"/>
      <c r="B46" s="66"/>
      <c r="C46" s="68"/>
      <c r="D46" s="69"/>
      <c r="E46" s="4"/>
      <c r="F46" s="4"/>
      <c r="G46" s="31"/>
      <c r="H46" s="4"/>
      <c r="I46" s="28"/>
    </row>
    <row r="47" spans="1:9">
      <c r="A47" s="68"/>
      <c r="B47" s="67"/>
      <c r="C47" s="68"/>
      <c r="D47" s="70"/>
      <c r="E47" s="4"/>
      <c r="F47" s="4"/>
      <c r="G47" s="31"/>
      <c r="H47" s="4"/>
      <c r="I47" s="28"/>
    </row>
    <row r="48" spans="1:9" ht="52.9" customHeight="1">
      <c r="A48" s="68"/>
      <c r="B48" s="68"/>
      <c r="C48" s="68"/>
      <c r="D48" s="69"/>
      <c r="E48" s="22"/>
      <c r="F48" s="4"/>
      <c r="G48" s="31"/>
      <c r="H48" s="4"/>
      <c r="I48" s="28"/>
    </row>
    <row r="49" spans="1:9">
      <c r="A49" s="68"/>
      <c r="B49" s="68"/>
      <c r="C49" s="68"/>
      <c r="D49" s="70"/>
      <c r="E49" s="22"/>
      <c r="F49" s="4"/>
      <c r="G49" s="31"/>
      <c r="H49" s="4"/>
      <c r="I49" s="28"/>
    </row>
    <row r="50" spans="1:9" ht="52.9" customHeight="1">
      <c r="A50" s="68"/>
      <c r="B50" s="66"/>
      <c r="C50" s="68"/>
      <c r="D50" s="69"/>
      <c r="E50" s="22"/>
      <c r="F50" s="4"/>
      <c r="G50" s="31"/>
      <c r="H50" s="4"/>
      <c r="I50" s="28"/>
    </row>
    <row r="51" spans="1:9">
      <c r="A51" s="68"/>
      <c r="B51" s="67"/>
      <c r="C51" s="68"/>
      <c r="D51" s="70"/>
      <c r="E51" s="22"/>
      <c r="F51" s="4"/>
      <c r="G51" s="31"/>
      <c r="H51" s="4"/>
      <c r="I51" s="28"/>
    </row>
    <row r="52" spans="1:9" ht="52.9" customHeight="1">
      <c r="A52" s="68"/>
      <c r="B52" s="66"/>
      <c r="C52" s="68"/>
      <c r="D52" s="69"/>
      <c r="E52" s="22"/>
      <c r="F52" s="4"/>
      <c r="G52" s="31"/>
      <c r="H52" s="4"/>
      <c r="I52" s="28"/>
    </row>
    <row r="53" spans="1:9">
      <c r="A53" s="68"/>
      <c r="B53" s="67"/>
      <c r="C53" s="68"/>
      <c r="D53" s="70"/>
      <c r="E53" s="22"/>
      <c r="F53" s="4"/>
      <c r="G53" s="31"/>
      <c r="H53" s="4"/>
      <c r="I53" s="28"/>
    </row>
    <row r="54" spans="1:9" ht="52.9" customHeight="1">
      <c r="A54" s="68"/>
      <c r="B54" s="66"/>
      <c r="C54" s="68"/>
      <c r="D54" s="69"/>
      <c r="E54" s="22"/>
      <c r="F54" s="4"/>
      <c r="G54" s="31"/>
      <c r="H54" s="4"/>
      <c r="I54" s="28"/>
    </row>
    <row r="55" spans="1:9">
      <c r="A55" s="68"/>
      <c r="B55" s="67"/>
      <c r="C55" s="68"/>
      <c r="D55" s="70"/>
      <c r="E55" s="22"/>
      <c r="F55" s="4"/>
      <c r="G55" s="31"/>
      <c r="H55" s="4"/>
      <c r="I55" s="28"/>
    </row>
    <row r="56" spans="1:9" ht="35.25" customHeight="1">
      <c r="A56" s="68"/>
      <c r="B56" s="66"/>
      <c r="C56" s="68"/>
      <c r="D56" s="69"/>
      <c r="E56" s="4"/>
      <c r="F56" s="4"/>
      <c r="G56" s="31"/>
      <c r="H56" s="4"/>
      <c r="I56" s="28"/>
    </row>
    <row r="57" spans="1:9">
      <c r="A57" s="68"/>
      <c r="B57" s="67"/>
      <c r="C57" s="68"/>
      <c r="D57" s="70"/>
      <c r="E57" s="4"/>
      <c r="F57" s="4"/>
      <c r="G57" s="31"/>
      <c r="H57" s="4"/>
      <c r="I57" s="28"/>
    </row>
    <row r="58" spans="1:9" ht="52.9" customHeight="1">
      <c r="A58" s="68"/>
      <c r="B58" s="68"/>
      <c r="C58" s="68"/>
      <c r="D58" s="69"/>
      <c r="E58" s="22"/>
      <c r="F58" s="4"/>
      <c r="G58" s="31"/>
      <c r="H58" s="4"/>
      <c r="I58" s="28"/>
    </row>
    <row r="59" spans="1:9">
      <c r="A59" s="68"/>
      <c r="B59" s="68"/>
      <c r="C59" s="68"/>
      <c r="D59" s="70"/>
      <c r="E59" s="22"/>
      <c r="F59" s="4"/>
      <c r="G59" s="31"/>
      <c r="H59" s="4"/>
      <c r="I59" s="28"/>
    </row>
    <row r="60" spans="1:9" ht="35.25" customHeight="1">
      <c r="A60" s="68"/>
      <c r="B60" s="66"/>
      <c r="C60" s="68"/>
      <c r="D60" s="69"/>
      <c r="E60" s="4"/>
      <c r="F60" s="4"/>
      <c r="G60" s="31"/>
      <c r="H60" s="4"/>
      <c r="I60" s="28"/>
    </row>
    <row r="61" spans="1:9">
      <c r="A61" s="68"/>
      <c r="B61" s="67"/>
      <c r="C61" s="68"/>
      <c r="D61" s="70"/>
      <c r="E61" s="4"/>
      <c r="F61" s="4"/>
      <c r="G61" s="31"/>
      <c r="H61" s="4"/>
      <c r="I61" s="28"/>
    </row>
    <row r="62" spans="1:9" ht="35.25" customHeight="1">
      <c r="A62" s="68"/>
      <c r="B62" s="66"/>
      <c r="C62" s="68"/>
      <c r="D62" s="69"/>
      <c r="E62" s="4"/>
      <c r="F62" s="4"/>
      <c r="G62" s="31"/>
      <c r="H62" s="4"/>
      <c r="I62" s="28"/>
    </row>
    <row r="63" spans="1:9">
      <c r="A63" s="68"/>
      <c r="B63" s="67"/>
      <c r="C63" s="68"/>
      <c r="D63" s="70"/>
      <c r="E63" s="4"/>
      <c r="F63" s="4"/>
      <c r="G63" s="31"/>
      <c r="H63" s="4"/>
      <c r="I63" s="28"/>
    </row>
    <row r="64" spans="1:9" ht="35.25" customHeight="1">
      <c r="A64" s="68"/>
      <c r="B64" s="66"/>
      <c r="C64" s="68"/>
      <c r="D64" s="69"/>
      <c r="E64" s="4"/>
      <c r="F64" s="4"/>
      <c r="G64" s="31"/>
      <c r="H64" s="4"/>
      <c r="I64" s="28"/>
    </row>
    <row r="65" spans="1:9">
      <c r="A65" s="68"/>
      <c r="B65" s="67"/>
      <c r="C65" s="68"/>
      <c r="D65" s="70"/>
      <c r="E65" s="4"/>
      <c r="F65" s="4"/>
      <c r="G65" s="31"/>
      <c r="H65" s="4"/>
      <c r="I65" s="28"/>
    </row>
    <row r="66" spans="1:9" ht="52.9" customHeight="1">
      <c r="A66" s="68"/>
      <c r="B66" s="68"/>
      <c r="C66" s="68"/>
      <c r="D66" s="69"/>
      <c r="E66" s="22"/>
      <c r="F66" s="4"/>
      <c r="G66" s="31"/>
      <c r="H66" s="4"/>
      <c r="I66" s="28"/>
    </row>
    <row r="67" spans="1:9">
      <c r="A67" s="68"/>
      <c r="B67" s="68"/>
      <c r="C67" s="68"/>
      <c r="D67" s="70"/>
      <c r="E67" s="22"/>
      <c r="F67" s="4"/>
      <c r="G67" s="31"/>
      <c r="H67" s="4"/>
      <c r="I67" s="28"/>
    </row>
    <row r="68" spans="1:9" ht="52.9" customHeight="1">
      <c r="A68" s="68"/>
      <c r="B68" s="66"/>
      <c r="C68" s="68"/>
      <c r="D68" s="69"/>
      <c r="E68" s="22"/>
      <c r="F68" s="4"/>
      <c r="G68" s="31"/>
      <c r="H68" s="4"/>
      <c r="I68" s="28"/>
    </row>
    <row r="69" spans="1:9">
      <c r="A69" s="68"/>
      <c r="B69" s="67"/>
      <c r="C69" s="68"/>
      <c r="D69" s="70"/>
      <c r="E69" s="22"/>
      <c r="F69" s="4"/>
      <c r="G69" s="31"/>
      <c r="H69" s="4"/>
      <c r="I69" s="28"/>
    </row>
    <row r="70" spans="1:9" ht="52.9" customHeight="1">
      <c r="A70" s="68"/>
      <c r="B70" s="66"/>
      <c r="C70" s="68"/>
      <c r="D70" s="69"/>
      <c r="E70" s="22"/>
      <c r="F70" s="4"/>
      <c r="G70" s="31"/>
      <c r="H70" s="4"/>
      <c r="I70" s="28"/>
    </row>
    <row r="71" spans="1:9">
      <c r="A71" s="68"/>
      <c r="B71" s="67"/>
      <c r="C71" s="68"/>
      <c r="D71" s="70"/>
      <c r="E71" s="22"/>
      <c r="F71" s="4"/>
      <c r="G71" s="31"/>
      <c r="H71" s="4"/>
      <c r="I71" s="28"/>
    </row>
    <row r="72" spans="1:9" ht="52.9" customHeight="1">
      <c r="A72" s="68"/>
      <c r="B72" s="66"/>
      <c r="C72" s="68"/>
      <c r="D72" s="69"/>
      <c r="E72" s="22"/>
      <c r="F72" s="4"/>
      <c r="G72" s="31"/>
      <c r="H72" s="4"/>
      <c r="I72" s="28"/>
    </row>
    <row r="73" spans="1:9">
      <c r="A73" s="68"/>
      <c r="B73" s="67"/>
      <c r="C73" s="68"/>
      <c r="D73" s="70"/>
      <c r="E73" s="22"/>
      <c r="F73" s="4"/>
      <c r="G73" s="31"/>
      <c r="H73" s="4"/>
      <c r="I73" s="28"/>
    </row>
  </sheetData>
  <mergeCells count="140"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8:A9"/>
    <mergeCell ref="B8:B9"/>
    <mergeCell ref="C8:C9"/>
    <mergeCell ref="A10:A11"/>
    <mergeCell ref="C10:C11"/>
    <mergeCell ref="A12:A13"/>
    <mergeCell ref="B12:B13"/>
    <mergeCell ref="C12:C13"/>
    <mergeCell ref="A1:I1"/>
    <mergeCell ref="A2:B2"/>
    <mergeCell ref="E2:I2"/>
    <mergeCell ref="A3:B3"/>
    <mergeCell ref="E3:I4"/>
    <mergeCell ref="A4:B4"/>
    <mergeCell ref="B10:B11"/>
    <mergeCell ref="A20:A21"/>
    <mergeCell ref="C20:C21"/>
    <mergeCell ref="A22:A23"/>
    <mergeCell ref="C22:C23"/>
    <mergeCell ref="A24:A25"/>
    <mergeCell ref="C24:C25"/>
    <mergeCell ref="B22:B23"/>
    <mergeCell ref="B24:B25"/>
    <mergeCell ref="A14:A15"/>
    <mergeCell ref="C14:C15"/>
    <mergeCell ref="A16:A17"/>
    <mergeCell ref="C16:C17"/>
    <mergeCell ref="A18:A19"/>
    <mergeCell ref="C18:C19"/>
    <mergeCell ref="B14:B15"/>
    <mergeCell ref="B16:B17"/>
    <mergeCell ref="B18:B19"/>
    <mergeCell ref="B20:B21"/>
    <mergeCell ref="A26:A27"/>
    <mergeCell ref="C26:C27"/>
    <mergeCell ref="A28:A29"/>
    <mergeCell ref="C28:C29"/>
    <mergeCell ref="A30:A31"/>
    <mergeCell ref="C30:C31"/>
    <mergeCell ref="B26:B27"/>
    <mergeCell ref="B28:B29"/>
    <mergeCell ref="B30:B31"/>
    <mergeCell ref="A42:A43"/>
    <mergeCell ref="B42:B43"/>
    <mergeCell ref="C42:C43"/>
    <mergeCell ref="B38:B39"/>
    <mergeCell ref="B40:B41"/>
    <mergeCell ref="A32:A33"/>
    <mergeCell ref="C32:C33"/>
    <mergeCell ref="A34:A35"/>
    <mergeCell ref="C34:C35"/>
    <mergeCell ref="A36:A37"/>
    <mergeCell ref="C36:C37"/>
    <mergeCell ref="B32:B33"/>
    <mergeCell ref="B34:B35"/>
    <mergeCell ref="B36:B37"/>
    <mergeCell ref="A38:A39"/>
    <mergeCell ref="C38:C39"/>
    <mergeCell ref="A40:A41"/>
    <mergeCell ref="C40:C41"/>
    <mergeCell ref="A50:A51"/>
    <mergeCell ref="B50:B51"/>
    <mergeCell ref="C50:C51"/>
    <mergeCell ref="A52:A53"/>
    <mergeCell ref="B52:B53"/>
    <mergeCell ref="C52:C53"/>
    <mergeCell ref="A44:A45"/>
    <mergeCell ref="C44:C45"/>
    <mergeCell ref="A46:A47"/>
    <mergeCell ref="C46:C47"/>
    <mergeCell ref="A48:A49"/>
    <mergeCell ref="C48:C49"/>
    <mergeCell ref="B44:B45"/>
    <mergeCell ref="B46:B47"/>
    <mergeCell ref="B48:B49"/>
    <mergeCell ref="D40:D41"/>
    <mergeCell ref="D38:D39"/>
    <mergeCell ref="D36:D37"/>
    <mergeCell ref="D32:D33"/>
    <mergeCell ref="D28:D29"/>
    <mergeCell ref="D30:D31"/>
    <mergeCell ref="D34:D35"/>
    <mergeCell ref="D52:D53"/>
    <mergeCell ref="D48:D49"/>
    <mergeCell ref="D46:D47"/>
    <mergeCell ref="D50:D51"/>
    <mergeCell ref="D44:D45"/>
    <mergeCell ref="D42:D43"/>
    <mergeCell ref="D14:D15"/>
    <mergeCell ref="D12:D13"/>
    <mergeCell ref="I5:I7"/>
    <mergeCell ref="H5:H7"/>
    <mergeCell ref="D26:D27"/>
    <mergeCell ref="D24:D25"/>
    <mergeCell ref="D22:D23"/>
    <mergeCell ref="D18:D19"/>
    <mergeCell ref="D16:D17"/>
    <mergeCell ref="D20:D21"/>
    <mergeCell ref="D8:D9"/>
    <mergeCell ref="D10:D11"/>
    <mergeCell ref="A60:A61"/>
    <mergeCell ref="B60:B61"/>
    <mergeCell ref="C60:C61"/>
    <mergeCell ref="D60:D61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54:A55"/>
    <mergeCell ref="B54:B55"/>
    <mergeCell ref="C54:C55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5"/>
  <sheetViews>
    <sheetView view="pageBreakPreview" zoomScaleNormal="100" zoomScaleSheetLayoutView="100" workbookViewId="0">
      <selection activeCell="D6" sqref="D6:D7"/>
    </sheetView>
  </sheetViews>
  <sheetFormatPr defaultColWidth="9" defaultRowHeight="16.5"/>
  <cols>
    <col min="1" max="1" width="6.125" style="1" customWidth="1"/>
    <col min="2" max="2" width="7.625" style="1" customWidth="1"/>
    <col min="3" max="3" width="16.875" style="1" customWidth="1"/>
    <col min="4" max="4" width="29.625" style="21" customWidth="1"/>
    <col min="5" max="6" width="16.875" style="1" customWidth="1"/>
    <col min="7" max="7" width="16.875" style="3" customWidth="1"/>
    <col min="8" max="9" width="16.875" style="1" customWidth="1"/>
    <col min="10" max="16384" width="9" style="1"/>
  </cols>
  <sheetData>
    <row r="1" spans="1:9" s="2" customFormat="1" ht="31.5">
      <c r="A1" s="61" t="s">
        <v>16</v>
      </c>
      <c r="B1" s="61"/>
      <c r="C1" s="61"/>
      <c r="D1" s="61"/>
      <c r="E1" s="61"/>
      <c r="F1" s="61"/>
      <c r="G1" s="61"/>
      <c r="H1" s="61"/>
      <c r="I1" s="61"/>
    </row>
    <row r="2" spans="1:9" s="2" customFormat="1">
      <c r="A2" s="62" t="s">
        <v>21</v>
      </c>
      <c r="B2" s="63"/>
      <c r="C2" s="9"/>
      <c r="D2" s="17"/>
      <c r="E2" s="64" t="s">
        <v>22</v>
      </c>
      <c r="F2" s="64"/>
      <c r="G2" s="64"/>
      <c r="H2" s="64"/>
      <c r="I2" s="64"/>
    </row>
    <row r="3" spans="1:9" s="2" customFormat="1">
      <c r="A3" s="62" t="s">
        <v>20</v>
      </c>
      <c r="B3" s="63"/>
      <c r="C3" s="9"/>
      <c r="D3" s="17"/>
      <c r="E3" s="65" t="s">
        <v>29</v>
      </c>
      <c r="F3" s="65"/>
      <c r="G3" s="65"/>
      <c r="H3" s="65"/>
      <c r="I3" s="65"/>
    </row>
    <row r="4" spans="1:9" s="2" customFormat="1">
      <c r="A4" s="62" t="s">
        <v>19</v>
      </c>
      <c r="B4" s="63"/>
      <c r="C4" s="9"/>
      <c r="D4" s="17"/>
      <c r="E4" s="65"/>
      <c r="F4" s="65"/>
      <c r="G4" s="65"/>
      <c r="H4" s="65"/>
      <c r="I4" s="65"/>
    </row>
    <row r="5" spans="1:9">
      <c r="A5" s="8" t="s">
        <v>8</v>
      </c>
      <c r="B5" s="8" t="s">
        <v>9</v>
      </c>
      <c r="C5" s="5" t="s">
        <v>0</v>
      </c>
      <c r="D5" s="18" t="s">
        <v>26</v>
      </c>
      <c r="E5" s="5" t="s">
        <v>1</v>
      </c>
      <c r="F5" s="5" t="s">
        <v>2</v>
      </c>
      <c r="G5" s="7" t="s">
        <v>10</v>
      </c>
      <c r="H5" s="5" t="s">
        <v>3</v>
      </c>
      <c r="I5" s="5" t="s">
        <v>11</v>
      </c>
    </row>
    <row r="6" spans="1:9" ht="49.5" customHeight="1">
      <c r="A6" s="66">
        <v>1</v>
      </c>
      <c r="B6" s="68" t="s">
        <v>62</v>
      </c>
      <c r="C6" s="82" t="s">
        <v>61</v>
      </c>
      <c r="D6" s="83" t="s">
        <v>63</v>
      </c>
      <c r="E6" s="4"/>
      <c r="F6" s="4"/>
      <c r="G6" s="6" t="str">
        <f>IFERROR(SUBSTITUTE(F6,"V","")/SUBSTITUTE(E6,"V","")*100, "")</f>
        <v/>
      </c>
      <c r="H6" s="4" t="s">
        <v>5</v>
      </c>
      <c r="I6" s="4" t="str">
        <f t="shared" ref="I6:I7" si="0">IFERROR(IF(G6 &lt;= VALUE(SUBSTITUTE(SUBSTITUTE(H6,"≤ ",""),"%","")), "Pass", "Fail"), "")</f>
        <v>Fail</v>
      </c>
    </row>
    <row r="7" spans="1:9">
      <c r="A7" s="67"/>
      <c r="B7" s="68"/>
      <c r="C7" s="68"/>
      <c r="D7" s="84"/>
      <c r="E7" s="4"/>
      <c r="F7" s="4"/>
      <c r="G7" s="6" t="str">
        <f>IFERROR(SUBSTITUTE(F7,"A","")/SUBSTITUTE(E7,"A","")*100, "")</f>
        <v/>
      </c>
      <c r="H7" s="4" t="s">
        <v>5</v>
      </c>
      <c r="I7" s="4" t="str">
        <f t="shared" si="0"/>
        <v>Fail</v>
      </c>
    </row>
    <row r="8" spans="1:9">
      <c r="A8" s="66"/>
      <c r="B8" s="68"/>
      <c r="C8" s="82"/>
      <c r="D8" s="83"/>
      <c r="E8" s="4"/>
      <c r="F8" s="4"/>
      <c r="G8" s="6"/>
      <c r="H8" s="4"/>
      <c r="I8" s="4"/>
    </row>
    <row r="9" spans="1:9">
      <c r="A9" s="67"/>
      <c r="B9" s="68"/>
      <c r="C9" s="68"/>
      <c r="D9" s="84"/>
      <c r="E9" s="4"/>
      <c r="F9" s="4"/>
      <c r="G9" s="6"/>
      <c r="H9" s="4"/>
      <c r="I9" s="4"/>
    </row>
    <row r="10" spans="1:9">
      <c r="A10" s="66"/>
      <c r="B10" s="68"/>
      <c r="C10" s="66"/>
      <c r="D10" s="83"/>
      <c r="E10" s="4"/>
      <c r="F10" s="4"/>
      <c r="G10" s="6"/>
      <c r="H10" s="4"/>
      <c r="I10" s="4"/>
    </row>
    <row r="11" spans="1:9">
      <c r="A11" s="67"/>
      <c r="B11" s="68"/>
      <c r="C11" s="67"/>
      <c r="D11" s="84"/>
      <c r="E11" s="4"/>
      <c r="F11" s="4"/>
      <c r="G11" s="6"/>
      <c r="H11" s="4"/>
      <c r="I11" s="4"/>
    </row>
    <row r="12" spans="1:9">
      <c r="A12" s="66"/>
      <c r="B12" s="68"/>
      <c r="C12" s="82"/>
      <c r="D12" s="83"/>
      <c r="E12" s="4"/>
      <c r="F12" s="4"/>
      <c r="G12" s="6"/>
      <c r="H12" s="4"/>
      <c r="I12" s="4"/>
    </row>
    <row r="13" spans="1:9">
      <c r="A13" s="67"/>
      <c r="B13" s="68"/>
      <c r="C13" s="68"/>
      <c r="D13" s="84"/>
      <c r="E13" s="4"/>
      <c r="F13" s="4"/>
      <c r="G13" s="6"/>
      <c r="H13" s="4"/>
      <c r="I13" s="4"/>
    </row>
    <row r="14" spans="1:9">
      <c r="A14" s="66"/>
      <c r="B14" s="68"/>
      <c r="C14" s="68"/>
      <c r="D14" s="83"/>
      <c r="E14" s="4"/>
      <c r="F14" s="4"/>
      <c r="G14" s="6"/>
      <c r="H14" s="4"/>
      <c r="I14" s="4"/>
    </row>
    <row r="15" spans="1:9">
      <c r="A15" s="67"/>
      <c r="B15" s="68"/>
      <c r="C15" s="68"/>
      <c r="D15" s="84"/>
      <c r="E15" s="4"/>
      <c r="F15" s="4"/>
      <c r="G15" s="6"/>
      <c r="H15" s="4"/>
      <c r="I15" s="4"/>
    </row>
    <row r="16" spans="1:9">
      <c r="A16" s="66"/>
      <c r="B16" s="68"/>
      <c r="C16" s="82"/>
      <c r="D16" s="83"/>
      <c r="E16" s="4"/>
      <c r="F16" s="4"/>
      <c r="G16" s="6"/>
      <c r="H16" s="4"/>
      <c r="I16" s="4"/>
    </row>
    <row r="17" spans="1:9">
      <c r="A17" s="67"/>
      <c r="B17" s="68"/>
      <c r="C17" s="68"/>
      <c r="D17" s="84"/>
      <c r="E17" s="4"/>
      <c r="F17" s="4"/>
      <c r="G17" s="6"/>
      <c r="H17" s="4"/>
      <c r="I17" s="4"/>
    </row>
    <row r="18" spans="1:9">
      <c r="A18" s="66"/>
      <c r="B18" s="68"/>
      <c r="C18" s="68"/>
      <c r="D18" s="83"/>
      <c r="E18" s="4"/>
      <c r="F18" s="4"/>
      <c r="G18" s="6"/>
      <c r="H18" s="4"/>
      <c r="I18" s="4"/>
    </row>
    <row r="19" spans="1:9">
      <c r="A19" s="67"/>
      <c r="B19" s="68"/>
      <c r="C19" s="68"/>
      <c r="D19" s="84"/>
      <c r="E19" s="4"/>
      <c r="F19" s="4"/>
      <c r="G19" s="6"/>
      <c r="H19" s="4"/>
      <c r="I19" s="4"/>
    </row>
    <row r="20" spans="1:9">
      <c r="A20" s="66"/>
      <c r="B20" s="68"/>
      <c r="C20" s="68"/>
      <c r="D20" s="83"/>
      <c r="E20" s="4"/>
      <c r="F20" s="4"/>
      <c r="G20" s="6"/>
      <c r="H20" s="4"/>
      <c r="I20" s="4"/>
    </row>
    <row r="21" spans="1:9">
      <c r="A21" s="67"/>
      <c r="B21" s="68"/>
      <c r="C21" s="68"/>
      <c r="D21" s="84"/>
      <c r="E21" s="4"/>
      <c r="F21" s="4"/>
      <c r="G21" s="6"/>
      <c r="H21" s="4"/>
      <c r="I21" s="4"/>
    </row>
    <row r="22" spans="1:9">
      <c r="A22" s="66"/>
      <c r="B22" s="68"/>
      <c r="C22" s="68"/>
      <c r="D22" s="83"/>
      <c r="E22" s="4"/>
      <c r="F22" s="4"/>
      <c r="G22" s="6"/>
      <c r="H22" s="4"/>
      <c r="I22" s="4"/>
    </row>
    <row r="23" spans="1:9">
      <c r="A23" s="67"/>
      <c r="B23" s="68"/>
      <c r="C23" s="68"/>
      <c r="D23" s="84"/>
      <c r="E23" s="4"/>
      <c r="F23" s="4"/>
      <c r="G23" s="6"/>
      <c r="H23" s="4"/>
      <c r="I23" s="4"/>
    </row>
    <row r="24" spans="1:9">
      <c r="A24" s="66"/>
      <c r="B24" s="68"/>
      <c r="C24" s="68"/>
      <c r="D24" s="83"/>
      <c r="E24" s="4"/>
      <c r="F24" s="4"/>
      <c r="G24" s="6"/>
      <c r="H24" s="4"/>
      <c r="I24" s="4"/>
    </row>
    <row r="25" spans="1:9">
      <c r="A25" s="67"/>
      <c r="B25" s="68"/>
      <c r="C25" s="68"/>
      <c r="D25" s="84"/>
      <c r="E25" s="4"/>
      <c r="F25" s="4"/>
      <c r="G25" s="6"/>
      <c r="H25" s="4"/>
      <c r="I25" s="4"/>
    </row>
    <row r="26" spans="1:9">
      <c r="A26" s="66"/>
      <c r="B26" s="68"/>
      <c r="C26" s="68"/>
      <c r="D26" s="83"/>
      <c r="E26" s="4"/>
      <c r="F26" s="4"/>
      <c r="G26" s="6"/>
      <c r="H26" s="4"/>
      <c r="I26" s="4"/>
    </row>
    <row r="27" spans="1:9">
      <c r="A27" s="67"/>
      <c r="B27" s="68"/>
      <c r="C27" s="68"/>
      <c r="D27" s="84"/>
      <c r="E27" s="4"/>
      <c r="F27" s="4"/>
      <c r="G27" s="6"/>
      <c r="H27" s="4"/>
      <c r="I27" s="4"/>
    </row>
    <row r="28" spans="1:9">
      <c r="A28" s="66"/>
      <c r="B28" s="68"/>
      <c r="C28" s="68"/>
      <c r="D28" s="83"/>
      <c r="E28" s="4"/>
      <c r="F28" s="4"/>
      <c r="G28" s="6"/>
      <c r="H28" s="4"/>
      <c r="I28" s="4"/>
    </row>
    <row r="29" spans="1:9">
      <c r="A29" s="67"/>
      <c r="B29" s="68"/>
      <c r="C29" s="68"/>
      <c r="D29" s="84"/>
      <c r="E29" s="4"/>
      <c r="F29" s="4"/>
      <c r="G29" s="6"/>
      <c r="H29" s="4"/>
      <c r="I29" s="4"/>
    </row>
    <row r="30" spans="1:9">
      <c r="A30" s="66"/>
      <c r="B30" s="68"/>
      <c r="C30" s="68"/>
      <c r="D30" s="83"/>
      <c r="E30" s="4"/>
      <c r="F30" s="4"/>
      <c r="G30" s="6"/>
      <c r="H30" s="4"/>
      <c r="I30" s="4"/>
    </row>
    <row r="31" spans="1:9">
      <c r="A31" s="67"/>
      <c r="B31" s="68"/>
      <c r="C31" s="68"/>
      <c r="D31" s="84"/>
      <c r="E31" s="4"/>
      <c r="F31" s="4"/>
      <c r="G31" s="6"/>
      <c r="H31" s="4"/>
      <c r="I31" s="4"/>
    </row>
    <row r="32" spans="1:9">
      <c r="A32" s="66"/>
      <c r="B32" s="68"/>
      <c r="C32" s="68"/>
      <c r="D32" s="83"/>
      <c r="E32" s="4"/>
      <c r="F32" s="4"/>
      <c r="G32" s="6"/>
      <c r="H32" s="4"/>
      <c r="I32" s="4"/>
    </row>
    <row r="33" spans="1:9">
      <c r="A33" s="67"/>
      <c r="B33" s="68"/>
      <c r="C33" s="68"/>
      <c r="D33" s="84"/>
      <c r="E33" s="4"/>
      <c r="F33" s="4"/>
      <c r="G33" s="6"/>
      <c r="H33" s="4"/>
      <c r="I33" s="4"/>
    </row>
    <row r="34" spans="1:9">
      <c r="A34" s="66"/>
      <c r="B34" s="68"/>
      <c r="C34" s="68"/>
      <c r="D34" s="83"/>
      <c r="E34" s="4"/>
      <c r="F34" s="4"/>
      <c r="G34" s="6"/>
      <c r="H34" s="4"/>
      <c r="I34" s="4"/>
    </row>
    <row r="35" spans="1:9">
      <c r="A35" s="67"/>
      <c r="B35" s="68"/>
      <c r="C35" s="68"/>
      <c r="D35" s="84"/>
      <c r="E35" s="4"/>
      <c r="F35" s="4"/>
      <c r="G35" s="6"/>
      <c r="H35" s="4"/>
      <c r="I35" s="4"/>
    </row>
    <row r="36" spans="1:9">
      <c r="A36" s="66"/>
      <c r="B36" s="79"/>
      <c r="C36" s="79"/>
      <c r="D36" s="83"/>
      <c r="E36" s="4"/>
      <c r="F36" s="4"/>
      <c r="G36" s="6"/>
      <c r="H36" s="4"/>
      <c r="I36" s="4"/>
    </row>
    <row r="37" spans="1:9">
      <c r="A37" s="67"/>
      <c r="B37" s="79"/>
      <c r="C37" s="79"/>
      <c r="D37" s="84"/>
      <c r="E37" s="4"/>
      <c r="F37" s="4"/>
      <c r="G37" s="6"/>
      <c r="H37" s="4"/>
      <c r="I37" s="4"/>
    </row>
    <row r="38" spans="1:9">
      <c r="A38" s="66"/>
      <c r="B38" s="79"/>
      <c r="C38" s="79"/>
      <c r="D38" s="83"/>
      <c r="E38" s="4"/>
      <c r="F38" s="4"/>
      <c r="G38" s="6"/>
      <c r="H38" s="4"/>
      <c r="I38" s="4"/>
    </row>
    <row r="39" spans="1:9">
      <c r="A39" s="67"/>
      <c r="B39" s="79"/>
      <c r="C39" s="79"/>
      <c r="D39" s="84"/>
      <c r="E39" s="4"/>
      <c r="F39" s="4"/>
      <c r="G39" s="6"/>
      <c r="H39" s="4"/>
      <c r="I39" s="4"/>
    </row>
    <row r="40" spans="1:9">
      <c r="A40" s="66"/>
      <c r="B40" s="79"/>
      <c r="C40" s="79"/>
      <c r="D40" s="83"/>
      <c r="E40" s="4"/>
      <c r="F40" s="4"/>
      <c r="G40" s="6"/>
      <c r="H40" s="4"/>
      <c r="I40" s="4"/>
    </row>
    <row r="41" spans="1:9">
      <c r="A41" s="67"/>
      <c r="B41" s="79"/>
      <c r="C41" s="79"/>
      <c r="D41" s="84"/>
      <c r="E41" s="4"/>
      <c r="F41" s="4"/>
      <c r="G41" s="6"/>
      <c r="H41" s="4"/>
      <c r="I41" s="4"/>
    </row>
    <row r="42" spans="1:9">
      <c r="A42" s="66"/>
      <c r="B42" s="68"/>
      <c r="C42" s="68"/>
      <c r="D42" s="83"/>
      <c r="E42" s="4"/>
      <c r="F42" s="4"/>
      <c r="G42" s="6"/>
      <c r="H42" s="4"/>
      <c r="I42" s="4"/>
    </row>
    <row r="43" spans="1:9">
      <c r="A43" s="67"/>
      <c r="B43" s="68"/>
      <c r="C43" s="68"/>
      <c r="D43" s="84"/>
      <c r="E43" s="4"/>
      <c r="F43" s="4"/>
      <c r="G43" s="6"/>
      <c r="H43" s="4"/>
      <c r="I43" s="4"/>
    </row>
    <row r="44" spans="1:9">
      <c r="A44" s="66"/>
      <c r="B44" s="68"/>
      <c r="C44" s="68"/>
      <c r="D44" s="83"/>
      <c r="E44" s="4"/>
      <c r="F44" s="4"/>
      <c r="G44" s="6"/>
      <c r="H44" s="4"/>
      <c r="I44" s="4"/>
    </row>
    <row r="45" spans="1:9">
      <c r="A45" s="67"/>
      <c r="B45" s="68"/>
      <c r="C45" s="68"/>
      <c r="D45" s="84"/>
      <c r="E45" s="4"/>
      <c r="F45" s="4"/>
      <c r="G45" s="6"/>
      <c r="H45" s="4"/>
      <c r="I45" s="4"/>
    </row>
    <row r="46" spans="1:9">
      <c r="A46" s="66"/>
      <c r="B46" s="68"/>
      <c r="C46" s="68"/>
      <c r="D46" s="83"/>
      <c r="E46" s="4"/>
      <c r="F46" s="4"/>
      <c r="G46" s="6"/>
      <c r="H46" s="4"/>
      <c r="I46" s="4"/>
    </row>
    <row r="47" spans="1:9">
      <c r="A47" s="67"/>
      <c r="B47" s="68"/>
      <c r="C47" s="68"/>
      <c r="D47" s="84"/>
      <c r="E47" s="4"/>
      <c r="F47" s="4"/>
      <c r="G47" s="6"/>
      <c r="H47" s="4"/>
      <c r="I47" s="4"/>
    </row>
    <row r="48" spans="1:9">
      <c r="A48" s="66"/>
      <c r="B48" s="66"/>
      <c r="C48" s="68"/>
      <c r="D48" s="83"/>
      <c r="E48" s="4"/>
      <c r="F48" s="4"/>
      <c r="G48" s="6"/>
      <c r="H48" s="4"/>
      <c r="I48" s="4"/>
    </row>
    <row r="49" spans="1:9">
      <c r="A49" s="67"/>
      <c r="B49" s="67"/>
      <c r="C49" s="68"/>
      <c r="D49" s="84"/>
      <c r="E49" s="4"/>
      <c r="F49" s="4"/>
      <c r="G49" s="6"/>
      <c r="H49" s="4"/>
      <c r="I49" s="4"/>
    </row>
    <row r="50" spans="1:9">
      <c r="A50" s="66"/>
      <c r="B50" s="66"/>
      <c r="C50" s="68"/>
      <c r="D50" s="83"/>
      <c r="E50" s="4"/>
      <c r="F50" s="4"/>
      <c r="G50" s="6"/>
      <c r="H50" s="4"/>
      <c r="I50" s="4"/>
    </row>
    <row r="51" spans="1:9">
      <c r="A51" s="67"/>
      <c r="B51" s="67"/>
      <c r="C51" s="68"/>
      <c r="D51" s="84"/>
      <c r="E51" s="4"/>
      <c r="F51" s="4"/>
      <c r="G51" s="6"/>
      <c r="H51" s="4"/>
      <c r="I51" s="4"/>
    </row>
    <row r="52" spans="1:9">
      <c r="A52" s="66"/>
      <c r="B52" s="66"/>
      <c r="C52" s="68"/>
      <c r="D52" s="83"/>
      <c r="E52" s="4"/>
      <c r="F52" s="4"/>
      <c r="G52" s="6"/>
      <c r="H52" s="4"/>
      <c r="I52" s="4"/>
    </row>
    <row r="53" spans="1:9">
      <c r="A53" s="67"/>
      <c r="B53" s="67"/>
      <c r="C53" s="68"/>
      <c r="D53" s="84"/>
      <c r="E53" s="4"/>
      <c r="F53" s="4"/>
      <c r="G53" s="6"/>
      <c r="H53" s="4"/>
      <c r="I53" s="4"/>
    </row>
    <row r="54" spans="1:9">
      <c r="A54" s="66"/>
      <c r="B54" s="66"/>
      <c r="C54" s="68"/>
      <c r="D54" s="83"/>
      <c r="E54" s="4"/>
      <c r="F54" s="4"/>
      <c r="G54" s="6"/>
      <c r="H54" s="4"/>
      <c r="I54" s="4"/>
    </row>
    <row r="55" spans="1:9">
      <c r="A55" s="67"/>
      <c r="B55" s="67"/>
      <c r="C55" s="68"/>
      <c r="D55" s="84"/>
      <c r="E55" s="4"/>
      <c r="F55" s="4"/>
      <c r="G55" s="6"/>
      <c r="H55" s="4"/>
      <c r="I55" s="4"/>
    </row>
    <row r="56" spans="1:9">
      <c r="A56" s="66"/>
      <c r="B56" s="66"/>
      <c r="C56" s="68"/>
      <c r="D56" s="83"/>
      <c r="E56" s="4"/>
      <c r="F56" s="4"/>
      <c r="G56" s="6"/>
      <c r="H56" s="4"/>
      <c r="I56" s="4"/>
    </row>
    <row r="57" spans="1:9">
      <c r="A57" s="67"/>
      <c r="B57" s="67"/>
      <c r="C57" s="68"/>
      <c r="D57" s="84"/>
      <c r="E57" s="4"/>
      <c r="F57" s="4"/>
      <c r="G57" s="6"/>
      <c r="H57" s="4"/>
      <c r="I57" s="4"/>
    </row>
    <row r="58" spans="1:9">
      <c r="A58" s="66"/>
      <c r="B58" s="66"/>
      <c r="C58" s="68"/>
      <c r="D58" s="83"/>
      <c r="E58" s="4"/>
      <c r="F58" s="4"/>
      <c r="G58" s="6"/>
      <c r="H58" s="4"/>
      <c r="I58" s="4"/>
    </row>
    <row r="59" spans="1:9">
      <c r="A59" s="67"/>
      <c r="B59" s="67"/>
      <c r="C59" s="68"/>
      <c r="D59" s="84"/>
      <c r="E59" s="4"/>
      <c r="F59" s="4"/>
      <c r="G59" s="6"/>
      <c r="H59" s="4"/>
      <c r="I59" s="4"/>
    </row>
    <row r="60" spans="1:9">
      <c r="A60" s="66"/>
      <c r="B60" s="66"/>
      <c r="C60" s="68"/>
      <c r="D60" s="83"/>
      <c r="E60" s="4"/>
      <c r="F60" s="4"/>
      <c r="G60" s="6"/>
      <c r="H60" s="4"/>
      <c r="I60" s="4"/>
    </row>
    <row r="61" spans="1:9">
      <c r="A61" s="67"/>
      <c r="B61" s="67"/>
      <c r="C61" s="68"/>
      <c r="D61" s="84"/>
      <c r="E61" s="4"/>
      <c r="F61" s="4"/>
      <c r="G61" s="6"/>
      <c r="H61" s="4"/>
      <c r="I61" s="4"/>
    </row>
    <row r="62" spans="1:9">
      <c r="A62" s="66"/>
      <c r="B62" s="66"/>
      <c r="C62" s="68"/>
      <c r="D62" s="83"/>
      <c r="E62" s="4"/>
      <c r="F62" s="4"/>
      <c r="G62" s="6"/>
      <c r="H62" s="4"/>
      <c r="I62" s="4"/>
    </row>
    <row r="63" spans="1:9">
      <c r="A63" s="67"/>
      <c r="B63" s="67"/>
      <c r="C63" s="68"/>
      <c r="D63" s="84"/>
      <c r="E63" s="4"/>
      <c r="F63" s="4"/>
      <c r="G63" s="6"/>
      <c r="H63" s="4"/>
      <c r="I63" s="4"/>
    </row>
    <row r="64" spans="1:9">
      <c r="A64" s="66"/>
      <c r="B64" s="66"/>
      <c r="C64" s="68"/>
      <c r="D64" s="83"/>
      <c r="E64" s="4"/>
      <c r="F64" s="4"/>
      <c r="G64" s="6"/>
      <c r="H64" s="4"/>
      <c r="I64" s="4"/>
    </row>
    <row r="65" spans="1:9">
      <c r="A65" s="67"/>
      <c r="B65" s="67"/>
      <c r="C65" s="68"/>
      <c r="D65" s="84"/>
      <c r="E65" s="4"/>
      <c r="F65" s="4"/>
      <c r="G65" s="6"/>
      <c r="H65" s="4"/>
      <c r="I65" s="4"/>
    </row>
    <row r="66" spans="1:9">
      <c r="A66" s="66"/>
      <c r="B66" s="66"/>
      <c r="C66" s="68"/>
      <c r="D66" s="83"/>
      <c r="E66" s="4"/>
      <c r="F66" s="4"/>
      <c r="G66" s="6"/>
      <c r="H66" s="4"/>
      <c r="I66" s="4"/>
    </row>
    <row r="67" spans="1:9">
      <c r="A67" s="67"/>
      <c r="B67" s="67"/>
      <c r="C67" s="68"/>
      <c r="D67" s="84"/>
      <c r="E67" s="4"/>
      <c r="F67" s="4"/>
      <c r="G67" s="6"/>
      <c r="H67" s="4"/>
      <c r="I67" s="4"/>
    </row>
    <row r="68" spans="1:9">
      <c r="A68" s="66"/>
      <c r="B68" s="66"/>
      <c r="C68" s="68"/>
      <c r="D68" s="83"/>
      <c r="E68" s="4"/>
      <c r="F68" s="4"/>
      <c r="G68" s="6"/>
      <c r="H68" s="4"/>
      <c r="I68" s="4"/>
    </row>
    <row r="69" spans="1:9">
      <c r="A69" s="67"/>
      <c r="B69" s="67"/>
      <c r="C69" s="68"/>
      <c r="D69" s="84"/>
      <c r="E69" s="4"/>
      <c r="F69" s="4"/>
      <c r="G69" s="6"/>
      <c r="H69" s="4"/>
      <c r="I69" s="4"/>
    </row>
    <row r="70" spans="1:9">
      <c r="A70" s="66"/>
      <c r="B70" s="66"/>
      <c r="C70" s="68"/>
      <c r="D70" s="83"/>
      <c r="E70" s="4"/>
      <c r="F70" s="4"/>
      <c r="G70" s="6"/>
      <c r="H70" s="4"/>
      <c r="I70" s="4"/>
    </row>
    <row r="71" spans="1:9">
      <c r="A71" s="67"/>
      <c r="B71" s="67"/>
      <c r="C71" s="68"/>
      <c r="D71" s="84"/>
      <c r="E71" s="4"/>
      <c r="F71" s="4"/>
      <c r="G71" s="6"/>
      <c r="H71" s="4"/>
      <c r="I71" s="4"/>
    </row>
    <row r="72" spans="1:9">
      <c r="A72" s="66"/>
      <c r="B72" s="66"/>
      <c r="C72" s="68"/>
      <c r="D72" s="83"/>
      <c r="E72" s="4"/>
      <c r="F72" s="4"/>
      <c r="G72" s="6"/>
      <c r="H72" s="4"/>
      <c r="I72" s="4"/>
    </row>
    <row r="73" spans="1:9">
      <c r="A73" s="67"/>
      <c r="B73" s="67"/>
      <c r="C73" s="68"/>
      <c r="D73" s="84"/>
      <c r="E73" s="4"/>
      <c r="F73" s="4"/>
      <c r="G73" s="6"/>
      <c r="H73" s="4"/>
      <c r="I73" s="4"/>
    </row>
    <row r="74" spans="1:9">
      <c r="A74" s="66"/>
      <c r="B74" s="66"/>
      <c r="C74" s="68"/>
      <c r="D74" s="83"/>
      <c r="E74" s="4"/>
      <c r="F74" s="4"/>
      <c r="G74" s="6"/>
      <c r="H74" s="4"/>
      <c r="I74" s="4"/>
    </row>
    <row r="75" spans="1:9">
      <c r="A75" s="67"/>
      <c r="B75" s="67"/>
      <c r="C75" s="68"/>
      <c r="D75" s="84"/>
      <c r="E75" s="4"/>
      <c r="F75" s="4"/>
      <c r="G75" s="6"/>
      <c r="H75" s="4"/>
      <c r="I75" s="4"/>
    </row>
    <row r="76" spans="1:9">
      <c r="A76" s="66"/>
      <c r="B76" s="66"/>
      <c r="C76" s="68"/>
      <c r="D76" s="83"/>
      <c r="E76" s="4"/>
      <c r="F76" s="4"/>
      <c r="G76" s="6"/>
      <c r="H76" s="4"/>
      <c r="I76" s="4"/>
    </row>
    <row r="77" spans="1:9">
      <c r="A77" s="67"/>
      <c r="B77" s="67"/>
      <c r="C77" s="68"/>
      <c r="D77" s="84"/>
      <c r="E77" s="4"/>
      <c r="F77" s="4"/>
      <c r="G77" s="6"/>
      <c r="H77" s="4"/>
      <c r="I77" s="4"/>
    </row>
    <row r="78" spans="1:9">
      <c r="A78" s="66"/>
      <c r="B78" s="66"/>
      <c r="C78" s="68"/>
      <c r="D78" s="83"/>
      <c r="E78" s="4"/>
      <c r="F78" s="4"/>
      <c r="G78" s="6"/>
      <c r="H78" s="4"/>
      <c r="I78" s="4"/>
    </row>
    <row r="79" spans="1:9">
      <c r="A79" s="67"/>
      <c r="B79" s="67"/>
      <c r="C79" s="68"/>
      <c r="D79" s="84"/>
      <c r="E79" s="4"/>
      <c r="F79" s="4"/>
      <c r="G79" s="6"/>
      <c r="H79" s="4"/>
      <c r="I79" s="4"/>
    </row>
    <row r="80" spans="1:9">
      <c r="A80" s="66"/>
      <c r="B80" s="66"/>
      <c r="C80" s="68"/>
      <c r="D80" s="83"/>
      <c r="E80" s="4"/>
      <c r="F80" s="4"/>
      <c r="G80" s="6"/>
      <c r="H80" s="4"/>
      <c r="I80" s="4"/>
    </row>
    <row r="81" spans="1:9">
      <c r="A81" s="67"/>
      <c r="B81" s="67"/>
      <c r="C81" s="68"/>
      <c r="D81" s="84"/>
      <c r="E81" s="4"/>
      <c r="F81" s="4"/>
      <c r="G81" s="6"/>
      <c r="H81" s="4"/>
      <c r="I81" s="4"/>
    </row>
    <row r="82" spans="1:9">
      <c r="A82" s="66"/>
      <c r="B82" s="66"/>
      <c r="C82" s="68"/>
      <c r="D82" s="83"/>
      <c r="E82" s="4"/>
      <c r="F82" s="4"/>
      <c r="G82" s="6"/>
      <c r="H82" s="4"/>
      <c r="I82" s="4"/>
    </row>
    <row r="83" spans="1:9">
      <c r="A83" s="67"/>
      <c r="B83" s="67"/>
      <c r="C83" s="68"/>
      <c r="D83" s="84"/>
      <c r="E83" s="4"/>
      <c r="F83" s="4"/>
      <c r="G83" s="6"/>
      <c r="H83" s="4"/>
      <c r="I83" s="4"/>
    </row>
    <row r="84" spans="1:9">
      <c r="A84" s="66"/>
      <c r="B84" s="66"/>
      <c r="C84" s="68"/>
      <c r="D84" s="83"/>
      <c r="E84" s="4"/>
      <c r="F84" s="4"/>
      <c r="G84" s="6"/>
      <c r="H84" s="4"/>
      <c r="I84" s="4"/>
    </row>
    <row r="85" spans="1:9">
      <c r="A85" s="67"/>
      <c r="B85" s="67"/>
      <c r="C85" s="68"/>
      <c r="D85" s="84"/>
      <c r="E85" s="4"/>
      <c r="F85" s="4"/>
      <c r="G85" s="6"/>
      <c r="H85" s="4"/>
      <c r="I85" s="4"/>
    </row>
    <row r="86" spans="1:9">
      <c r="A86" s="66"/>
      <c r="B86" s="66"/>
      <c r="C86" s="68"/>
      <c r="D86" s="83"/>
      <c r="E86" s="4"/>
      <c r="F86" s="4"/>
      <c r="G86" s="6"/>
      <c r="H86" s="4"/>
      <c r="I86" s="4"/>
    </row>
    <row r="87" spans="1:9">
      <c r="A87" s="67"/>
      <c r="B87" s="67"/>
      <c r="C87" s="68"/>
      <c r="D87" s="84"/>
      <c r="E87" s="4"/>
      <c r="F87" s="4"/>
      <c r="G87" s="6"/>
      <c r="H87" s="4"/>
      <c r="I87" s="4"/>
    </row>
    <row r="88" spans="1:9">
      <c r="A88" s="66"/>
      <c r="B88" s="66"/>
      <c r="C88" s="68"/>
      <c r="D88" s="83"/>
      <c r="E88" s="4"/>
      <c r="F88" s="4"/>
      <c r="G88" s="6"/>
      <c r="H88" s="4"/>
      <c r="I88" s="4"/>
    </row>
    <row r="89" spans="1:9">
      <c r="A89" s="67"/>
      <c r="B89" s="67"/>
      <c r="C89" s="68"/>
      <c r="D89" s="84"/>
      <c r="E89" s="4"/>
      <c r="F89" s="4"/>
      <c r="G89" s="6"/>
      <c r="H89" s="4"/>
      <c r="I89" s="4"/>
    </row>
    <row r="90" spans="1:9">
      <c r="A90" s="66"/>
      <c r="B90" s="66"/>
      <c r="C90" s="68"/>
      <c r="D90" s="83"/>
      <c r="E90" s="4"/>
      <c r="F90" s="4"/>
      <c r="G90" s="6"/>
      <c r="H90" s="4"/>
      <c r="I90" s="4"/>
    </row>
    <row r="91" spans="1:9">
      <c r="A91" s="67"/>
      <c r="B91" s="67"/>
      <c r="C91" s="68"/>
      <c r="D91" s="84"/>
      <c r="E91" s="4"/>
      <c r="F91" s="4"/>
      <c r="G91" s="6"/>
      <c r="H91" s="4"/>
      <c r="I91" s="4"/>
    </row>
    <row r="92" spans="1:9">
      <c r="A92" s="66"/>
      <c r="B92" s="66"/>
      <c r="C92" s="68"/>
      <c r="D92" s="83"/>
      <c r="E92" s="4"/>
      <c r="F92" s="4"/>
      <c r="G92" s="6" t="str">
        <f t="shared" ref="G92" si="1">IFERROR(SUBSTITUTE(F92,"V","")/SUBSTITUTE(E92,"V","")*100, "")</f>
        <v/>
      </c>
      <c r="H92" s="4"/>
      <c r="I92" s="4" t="str">
        <f t="shared" ref="I92:I95" si="2">IFERROR(IF(G92 &lt;= VALUE(SUBSTITUTE(SUBSTITUTE(H92,"≤ ",""),"%","")), "Pass", "Fail"), "")</f>
        <v/>
      </c>
    </row>
    <row r="93" spans="1:9">
      <c r="A93" s="67"/>
      <c r="B93" s="67"/>
      <c r="C93" s="68"/>
      <c r="D93" s="84"/>
      <c r="E93" s="4"/>
      <c r="F93" s="4"/>
      <c r="G93" s="6" t="str">
        <f t="shared" ref="G93" si="3">IFERROR(SUBSTITUTE(F93,"A","")/SUBSTITUTE(E93,"A","")*100, "")</f>
        <v/>
      </c>
      <c r="H93" s="4"/>
      <c r="I93" s="4" t="str">
        <f t="shared" si="2"/>
        <v/>
      </c>
    </row>
    <row r="94" spans="1:9">
      <c r="A94" s="66"/>
      <c r="B94" s="66"/>
      <c r="C94" s="68"/>
      <c r="D94" s="83"/>
      <c r="E94" s="4"/>
      <c r="F94" s="4"/>
      <c r="G94" s="6" t="str">
        <f t="shared" ref="G94" si="4">IFERROR(SUBSTITUTE(F94,"V","")/SUBSTITUTE(E94,"V","")*100, "")</f>
        <v/>
      </c>
      <c r="H94" s="4"/>
      <c r="I94" s="4" t="str">
        <f t="shared" si="2"/>
        <v/>
      </c>
    </row>
    <row r="95" spans="1:9">
      <c r="A95" s="67"/>
      <c r="B95" s="67"/>
      <c r="C95" s="68"/>
      <c r="D95" s="84"/>
      <c r="E95" s="4"/>
      <c r="F95" s="4"/>
      <c r="G95" s="6" t="str">
        <f t="shared" ref="G95" si="5">IFERROR(SUBSTITUTE(F95,"A","")/SUBSTITUTE(E95,"A","")*100, "")</f>
        <v/>
      </c>
      <c r="H95" s="4"/>
      <c r="I95" s="4" t="str">
        <f t="shared" si="2"/>
        <v/>
      </c>
    </row>
  </sheetData>
  <mergeCells count="186"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C80:C81"/>
    <mergeCell ref="C82:C83"/>
    <mergeCell ref="C66:C67"/>
    <mergeCell ref="C60:C61"/>
    <mergeCell ref="C62:C63"/>
    <mergeCell ref="C68:C69"/>
    <mergeCell ref="C70:C71"/>
    <mergeCell ref="C72:C73"/>
    <mergeCell ref="C74:C75"/>
    <mergeCell ref="C76:C77"/>
    <mergeCell ref="C44:C45"/>
    <mergeCell ref="C46:C47"/>
    <mergeCell ref="C8:C9"/>
    <mergeCell ref="A6:A7"/>
    <mergeCell ref="B6:B7"/>
    <mergeCell ref="A18:A19"/>
    <mergeCell ref="C56:C57"/>
    <mergeCell ref="C58:C59"/>
    <mergeCell ref="A10:A11"/>
    <mergeCell ref="A12:A13"/>
    <mergeCell ref="A14:A15"/>
    <mergeCell ref="A16:A17"/>
    <mergeCell ref="B8:B9"/>
    <mergeCell ref="B10:B11"/>
    <mergeCell ref="B12:B13"/>
    <mergeCell ref="B14:B15"/>
    <mergeCell ref="B16:B17"/>
    <mergeCell ref="C6:C7"/>
    <mergeCell ref="C10:C11"/>
    <mergeCell ref="C12:C13"/>
    <mergeCell ref="A42:A43"/>
    <mergeCell ref="B42:B43"/>
    <mergeCell ref="C42:C43"/>
    <mergeCell ref="A30:A31"/>
    <mergeCell ref="A1:I1"/>
    <mergeCell ref="A2:B2"/>
    <mergeCell ref="A3:B3"/>
    <mergeCell ref="A4:B4"/>
    <mergeCell ref="E2:I2"/>
    <mergeCell ref="E3:I4"/>
    <mergeCell ref="C48:C49"/>
    <mergeCell ref="A54:A55"/>
    <mergeCell ref="B54:B55"/>
    <mergeCell ref="C26:C27"/>
    <mergeCell ref="C20:C21"/>
    <mergeCell ref="B20:B21"/>
    <mergeCell ref="B22:B23"/>
    <mergeCell ref="C22:C23"/>
    <mergeCell ref="C50:C51"/>
    <mergeCell ref="C52:C53"/>
    <mergeCell ref="C54:C55"/>
    <mergeCell ref="C30:C31"/>
    <mergeCell ref="C32:C33"/>
    <mergeCell ref="C38:C39"/>
    <mergeCell ref="C40:C41"/>
    <mergeCell ref="B40:B41"/>
    <mergeCell ref="C34:C35"/>
    <mergeCell ref="A8:A9"/>
    <mergeCell ref="A94:A95"/>
    <mergeCell ref="B94:B95"/>
    <mergeCell ref="C64:C65"/>
    <mergeCell ref="C94:C95"/>
    <mergeCell ref="A78:A79"/>
    <mergeCell ref="B78:B79"/>
    <mergeCell ref="A80:A81"/>
    <mergeCell ref="B80:B81"/>
    <mergeCell ref="A82:A83"/>
    <mergeCell ref="B82:B83"/>
    <mergeCell ref="A84:A85"/>
    <mergeCell ref="B84:B85"/>
    <mergeCell ref="A86:A87"/>
    <mergeCell ref="B86:B87"/>
    <mergeCell ref="A68:A69"/>
    <mergeCell ref="B68:B69"/>
    <mergeCell ref="A70:A71"/>
    <mergeCell ref="B70:B71"/>
    <mergeCell ref="C90:C91"/>
    <mergeCell ref="C92:C93"/>
    <mergeCell ref="C84:C85"/>
    <mergeCell ref="C86:C87"/>
    <mergeCell ref="C88:C89"/>
    <mergeCell ref="C78:C79"/>
    <mergeCell ref="A64:A65"/>
    <mergeCell ref="B64:B65"/>
    <mergeCell ref="A66:A67"/>
    <mergeCell ref="B66:B67"/>
    <mergeCell ref="A88:A89"/>
    <mergeCell ref="B88:B89"/>
    <mergeCell ref="A90:A91"/>
    <mergeCell ref="B90:B91"/>
    <mergeCell ref="A92:A93"/>
    <mergeCell ref="B92:B93"/>
    <mergeCell ref="A72:A73"/>
    <mergeCell ref="B72:B73"/>
    <mergeCell ref="A74:A75"/>
    <mergeCell ref="B74:B75"/>
    <mergeCell ref="A76:A77"/>
    <mergeCell ref="B76:B77"/>
    <mergeCell ref="A40:A41"/>
    <mergeCell ref="A20:A21"/>
    <mergeCell ref="A22:A23"/>
    <mergeCell ref="A24:A25"/>
    <mergeCell ref="A26:A27"/>
    <mergeCell ref="A28:A29"/>
    <mergeCell ref="A60:A61"/>
    <mergeCell ref="B60:B61"/>
    <mergeCell ref="A62:A63"/>
    <mergeCell ref="B62:B63"/>
    <mergeCell ref="A44:A45"/>
    <mergeCell ref="A46:A47"/>
    <mergeCell ref="A48:A49"/>
    <mergeCell ref="B44:B45"/>
    <mergeCell ref="B46:B47"/>
    <mergeCell ref="B48:B49"/>
    <mergeCell ref="A50:A51"/>
    <mergeCell ref="B50:B51"/>
    <mergeCell ref="A52:A53"/>
    <mergeCell ref="B52:B53"/>
    <mergeCell ref="A56:A57"/>
    <mergeCell ref="B56:B57"/>
    <mergeCell ref="A58:A59"/>
    <mergeCell ref="B58:B59"/>
    <mergeCell ref="B38:B39"/>
    <mergeCell ref="B24:B25"/>
    <mergeCell ref="B26:B27"/>
    <mergeCell ref="B28:B29"/>
    <mergeCell ref="A36:A37"/>
    <mergeCell ref="B36:B37"/>
    <mergeCell ref="A32:A33"/>
    <mergeCell ref="A34:A35"/>
    <mergeCell ref="A38:A39"/>
    <mergeCell ref="C36:C37"/>
    <mergeCell ref="C28:C29"/>
    <mergeCell ref="C14:C15"/>
    <mergeCell ref="C16:C17"/>
    <mergeCell ref="B18:B19"/>
    <mergeCell ref="C18:C19"/>
    <mergeCell ref="C24:C25"/>
    <mergeCell ref="B30:B31"/>
    <mergeCell ref="B32:B33"/>
    <mergeCell ref="B34:B35"/>
  </mergeCells>
  <phoneticPr fontId="2" type="noConversion"/>
  <pageMargins left="0.7" right="0.7" top="0.75" bottom="0.75" header="0.3" footer="0.3"/>
  <pageSetup paperSize="9" scale="53" orientation="portrait" horizontalDpi="300" verticalDpi="300" r:id="rId1"/>
  <ignoredErrors>
    <ignoredError sqref="G92:G95 G7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30D6-132A-4981-871B-179DF8E41201}">
  <dimension ref="A1:J80"/>
  <sheetViews>
    <sheetView view="pageBreakPreview" zoomScaleNormal="100" zoomScaleSheetLayoutView="100" workbookViewId="0">
      <selection activeCell="F70" sqref="F70"/>
    </sheetView>
  </sheetViews>
  <sheetFormatPr defaultColWidth="9" defaultRowHeight="16.5"/>
  <cols>
    <col min="1" max="1" width="6.125" style="1" customWidth="1"/>
    <col min="2" max="2" width="7.625" style="1" customWidth="1"/>
    <col min="3" max="9" width="17.125" style="1" customWidth="1"/>
    <col min="10" max="10" width="25" style="1" bestFit="1" customWidth="1"/>
    <col min="11" max="11" width="9.625" style="1" customWidth="1"/>
    <col min="12" max="16384" width="9" style="1"/>
  </cols>
  <sheetData>
    <row r="1" spans="1:9" s="2" customFormat="1" ht="31.5">
      <c r="A1" s="61" t="s">
        <v>72</v>
      </c>
      <c r="B1" s="61"/>
      <c r="C1" s="61"/>
      <c r="D1" s="61"/>
      <c r="E1" s="61"/>
      <c r="F1" s="61"/>
      <c r="G1" s="61"/>
      <c r="H1" s="61"/>
      <c r="I1" s="61"/>
    </row>
    <row r="2" spans="1:9" s="2" customFormat="1">
      <c r="A2" s="62" t="s">
        <v>21</v>
      </c>
      <c r="B2" s="63"/>
      <c r="C2" s="9"/>
      <c r="D2" s="9"/>
      <c r="E2" s="64" t="s">
        <v>22</v>
      </c>
      <c r="F2" s="64"/>
      <c r="G2" s="64"/>
      <c r="H2" s="64"/>
      <c r="I2" s="64"/>
    </row>
    <row r="3" spans="1:9" s="2" customFormat="1">
      <c r="A3" s="62" t="s">
        <v>20</v>
      </c>
      <c r="B3" s="63"/>
      <c r="C3" s="9"/>
      <c r="D3" s="9"/>
      <c r="E3" s="65"/>
      <c r="F3" s="65"/>
      <c r="G3" s="65"/>
      <c r="H3" s="65"/>
      <c r="I3" s="65"/>
    </row>
    <row r="4" spans="1:9" s="2" customFormat="1">
      <c r="A4" s="62" t="s">
        <v>19</v>
      </c>
      <c r="B4" s="63"/>
      <c r="C4" s="9"/>
      <c r="D4" s="9"/>
      <c r="E4" s="65"/>
      <c r="F4" s="65"/>
      <c r="G4" s="65"/>
      <c r="H4" s="65"/>
      <c r="I4" s="65"/>
    </row>
    <row r="5" spans="1:9">
      <c r="A5" s="8" t="s">
        <v>8</v>
      </c>
      <c r="B5" s="8" t="s">
        <v>9</v>
      </c>
      <c r="C5" s="5" t="s">
        <v>0</v>
      </c>
      <c r="D5" s="5"/>
      <c r="E5" s="5" t="s">
        <v>1</v>
      </c>
      <c r="F5" s="5" t="s">
        <v>2</v>
      </c>
      <c r="G5" s="5" t="s">
        <v>10</v>
      </c>
      <c r="H5" s="5" t="s">
        <v>3</v>
      </c>
      <c r="I5" s="5" t="s">
        <v>11</v>
      </c>
    </row>
    <row r="6" spans="1:9">
      <c r="A6" s="66">
        <v>1</v>
      </c>
      <c r="B6" s="66" t="s">
        <v>73</v>
      </c>
      <c r="C6" s="66" t="s">
        <v>74</v>
      </c>
      <c r="D6" s="69" t="s">
        <v>75</v>
      </c>
      <c r="E6" s="22"/>
      <c r="F6" s="22"/>
      <c r="G6" s="33" t="str">
        <f>IFERROR(SUBSTITUTE(F6,"V","")/SUBSTITUTE(E6,"V","")*100, "")</f>
        <v/>
      </c>
      <c r="H6" s="22" t="s">
        <v>76</v>
      </c>
      <c r="I6" s="22" t="str">
        <f t="shared" ref="I6:I8" si="0">IFERROR(IF(G6 &lt;= VALUE(SUBSTITUTE(SUBSTITUTE(H6,"≤ ",""),"%","")), "Pass", "Fail"), "")</f>
        <v>Fail</v>
      </c>
    </row>
    <row r="7" spans="1:9">
      <c r="A7" s="86"/>
      <c r="B7" s="86"/>
      <c r="C7" s="86"/>
      <c r="D7" s="85"/>
      <c r="E7" s="22"/>
      <c r="F7" s="22"/>
      <c r="G7" s="33" t="str">
        <f>IFERROR(SUBSTITUTE(F7,"A","")/SUBSTITUTE(E7,"A","")*100, "")</f>
        <v/>
      </c>
      <c r="H7" s="22" t="s">
        <v>76</v>
      </c>
      <c r="I7" s="22" t="str">
        <f t="shared" si="0"/>
        <v>Fail</v>
      </c>
    </row>
    <row r="8" spans="1:9">
      <c r="A8" s="67"/>
      <c r="B8" s="67"/>
      <c r="C8" s="67"/>
      <c r="D8" s="70"/>
      <c r="E8" s="22"/>
      <c r="F8" s="22"/>
      <c r="G8" s="33" t="str">
        <f>IFERROR(SUBSTITUTE(F8,"W","")/SUBSTITUTE(E8,"W","")*100, "")</f>
        <v/>
      </c>
      <c r="H8" s="22" t="s">
        <v>76</v>
      </c>
      <c r="I8" s="22" t="str">
        <f t="shared" si="0"/>
        <v>Fail</v>
      </c>
    </row>
    <row r="9" spans="1:9">
      <c r="A9" s="66"/>
      <c r="B9" s="66"/>
      <c r="C9" s="66"/>
      <c r="D9" s="69"/>
      <c r="E9" s="22"/>
      <c r="F9" s="22"/>
      <c r="G9" s="33"/>
      <c r="H9" s="22"/>
      <c r="I9" s="22"/>
    </row>
    <row r="10" spans="1:9">
      <c r="A10" s="86"/>
      <c r="B10" s="86"/>
      <c r="C10" s="86"/>
      <c r="D10" s="85"/>
      <c r="E10" s="4"/>
      <c r="F10" s="4"/>
      <c r="G10" s="31"/>
      <c r="H10" s="22"/>
      <c r="I10" s="4"/>
    </row>
    <row r="11" spans="1:9">
      <c r="A11" s="67"/>
      <c r="B11" s="67"/>
      <c r="C11" s="67"/>
      <c r="D11" s="70"/>
      <c r="E11" s="4"/>
      <c r="F11" s="4"/>
      <c r="G11" s="31"/>
      <c r="H11" s="22"/>
      <c r="I11" s="4"/>
    </row>
    <row r="12" spans="1:9">
      <c r="A12" s="66"/>
      <c r="B12" s="66"/>
      <c r="C12" s="66"/>
      <c r="D12" s="69"/>
      <c r="E12" s="4"/>
      <c r="F12" s="4"/>
      <c r="G12" s="31"/>
      <c r="H12" s="22"/>
      <c r="I12" s="4"/>
    </row>
    <row r="13" spans="1:9">
      <c r="A13" s="86"/>
      <c r="B13" s="86"/>
      <c r="C13" s="86"/>
      <c r="D13" s="85"/>
      <c r="E13" s="4"/>
      <c r="F13" s="4"/>
      <c r="G13" s="31"/>
      <c r="H13" s="22"/>
      <c r="I13" s="4"/>
    </row>
    <row r="14" spans="1:9">
      <c r="A14" s="67"/>
      <c r="B14" s="67"/>
      <c r="C14" s="67"/>
      <c r="D14" s="70"/>
      <c r="E14" s="4"/>
      <c r="F14" s="4"/>
      <c r="G14" s="31"/>
      <c r="H14" s="22"/>
      <c r="I14" s="4"/>
    </row>
    <row r="15" spans="1:9">
      <c r="A15" s="66"/>
      <c r="B15" s="66"/>
      <c r="C15" s="66"/>
      <c r="D15" s="69"/>
      <c r="E15" s="4"/>
      <c r="F15" s="4"/>
      <c r="G15" s="31"/>
      <c r="H15" s="22"/>
      <c r="I15" s="4"/>
    </row>
    <row r="16" spans="1:9">
      <c r="A16" s="86"/>
      <c r="B16" s="86"/>
      <c r="C16" s="86"/>
      <c r="D16" s="85"/>
      <c r="E16" s="4"/>
      <c r="F16" s="4"/>
      <c r="G16" s="31"/>
      <c r="H16" s="22"/>
      <c r="I16" s="4"/>
    </row>
    <row r="17" spans="1:10">
      <c r="A17" s="67"/>
      <c r="B17" s="67"/>
      <c r="C17" s="67"/>
      <c r="D17" s="70"/>
      <c r="E17" s="4"/>
      <c r="F17" s="4"/>
      <c r="G17" s="31"/>
      <c r="H17" s="22"/>
      <c r="I17" s="4"/>
    </row>
    <row r="18" spans="1:10">
      <c r="A18" s="66"/>
      <c r="B18" s="66"/>
      <c r="C18" s="66"/>
      <c r="D18" s="69"/>
      <c r="E18" s="39"/>
      <c r="F18" s="38"/>
      <c r="G18" s="40"/>
      <c r="H18" s="38"/>
      <c r="I18" s="38"/>
    </row>
    <row r="19" spans="1:10">
      <c r="A19" s="86"/>
      <c r="B19" s="86"/>
      <c r="C19" s="86"/>
      <c r="D19" s="85"/>
      <c r="E19" s="4"/>
      <c r="F19" s="4"/>
      <c r="G19" s="31"/>
      <c r="H19" s="22"/>
      <c r="I19" s="4"/>
    </row>
    <row r="20" spans="1:10">
      <c r="A20" s="67"/>
      <c r="B20" s="67"/>
      <c r="C20" s="67"/>
      <c r="D20" s="70"/>
      <c r="E20" s="4"/>
      <c r="F20" s="4"/>
      <c r="G20" s="31"/>
      <c r="H20" s="22"/>
      <c r="I20" s="4"/>
    </row>
    <row r="21" spans="1:10">
      <c r="A21" s="66"/>
      <c r="B21" s="66"/>
      <c r="C21" s="66"/>
      <c r="D21" s="69"/>
      <c r="E21" s="4"/>
      <c r="F21" s="4"/>
      <c r="G21" s="31"/>
      <c r="H21" s="22"/>
      <c r="I21" s="4"/>
    </row>
    <row r="22" spans="1:10">
      <c r="A22" s="86"/>
      <c r="B22" s="86"/>
      <c r="C22" s="86"/>
      <c r="D22" s="85"/>
      <c r="E22" s="4"/>
      <c r="F22" s="4"/>
      <c r="G22" s="31"/>
      <c r="H22" s="22"/>
      <c r="I22" s="4"/>
    </row>
    <row r="23" spans="1:10">
      <c r="A23" s="67"/>
      <c r="B23" s="67"/>
      <c r="C23" s="67"/>
      <c r="D23" s="70"/>
      <c r="E23" s="4"/>
      <c r="F23" s="4"/>
      <c r="G23" s="31"/>
      <c r="H23" s="22"/>
      <c r="I23" s="4"/>
    </row>
    <row r="24" spans="1:10">
      <c r="A24" s="66"/>
      <c r="B24" s="66"/>
      <c r="C24" s="66"/>
      <c r="D24" s="69"/>
      <c r="E24" s="4"/>
      <c r="F24" s="4"/>
      <c r="G24" s="31"/>
      <c r="H24" s="22"/>
      <c r="I24" s="4"/>
    </row>
    <row r="25" spans="1:10">
      <c r="A25" s="86"/>
      <c r="B25" s="86"/>
      <c r="C25" s="86"/>
      <c r="D25" s="85"/>
      <c r="E25" s="4"/>
      <c r="F25" s="4"/>
      <c r="G25" s="31"/>
      <c r="H25" s="22"/>
      <c r="I25" s="4"/>
    </row>
    <row r="26" spans="1:10">
      <c r="A26" s="67"/>
      <c r="B26" s="67"/>
      <c r="C26" s="67"/>
      <c r="D26" s="70"/>
      <c r="E26" s="4"/>
      <c r="F26" s="4"/>
      <c r="G26" s="31"/>
      <c r="H26" s="22"/>
      <c r="I26" s="4"/>
    </row>
    <row r="27" spans="1:10">
      <c r="A27" s="66"/>
      <c r="B27" s="66"/>
      <c r="C27" s="69"/>
      <c r="D27" s="69"/>
      <c r="E27" s="22"/>
      <c r="F27" s="22"/>
      <c r="G27" s="33"/>
      <c r="H27" s="22"/>
      <c r="I27" s="22"/>
      <c r="J27" s="12"/>
    </row>
    <row r="28" spans="1:10">
      <c r="A28" s="86"/>
      <c r="B28" s="86"/>
      <c r="C28" s="86"/>
      <c r="D28" s="85"/>
      <c r="E28" s="22"/>
      <c r="F28" s="22"/>
      <c r="G28" s="33"/>
      <c r="H28" s="22"/>
      <c r="I28" s="22"/>
    </row>
    <row r="29" spans="1:10">
      <c r="A29" s="67"/>
      <c r="B29" s="67"/>
      <c r="C29" s="67"/>
      <c r="D29" s="70"/>
      <c r="E29" s="22"/>
      <c r="F29" s="22"/>
      <c r="G29" s="33"/>
      <c r="H29" s="22"/>
      <c r="I29" s="22"/>
    </row>
    <row r="30" spans="1:10">
      <c r="A30" s="66"/>
      <c r="B30" s="66"/>
      <c r="C30" s="69"/>
      <c r="D30" s="69"/>
      <c r="E30" s="22"/>
      <c r="F30" s="22"/>
      <c r="G30" s="33"/>
      <c r="H30" s="22"/>
      <c r="I30" s="22"/>
      <c r="J30" s="12"/>
    </row>
    <row r="31" spans="1:10">
      <c r="A31" s="86"/>
      <c r="B31" s="86"/>
      <c r="C31" s="86"/>
      <c r="D31" s="85"/>
      <c r="E31" s="22"/>
      <c r="F31" s="22"/>
      <c r="G31" s="33"/>
      <c r="H31" s="22"/>
      <c r="I31" s="22"/>
    </row>
    <row r="32" spans="1:10">
      <c r="A32" s="67"/>
      <c r="B32" s="67"/>
      <c r="C32" s="67"/>
      <c r="D32" s="70"/>
      <c r="E32" s="22"/>
      <c r="F32" s="22"/>
      <c r="G32" s="33"/>
      <c r="H32" s="22"/>
      <c r="I32" s="22"/>
    </row>
    <row r="33" spans="1:10">
      <c r="A33" s="66"/>
      <c r="B33" s="66"/>
      <c r="C33" s="69"/>
      <c r="D33" s="69"/>
      <c r="E33" s="22"/>
      <c r="F33" s="22"/>
      <c r="G33" s="33"/>
      <c r="H33" s="22"/>
      <c r="I33" s="22"/>
      <c r="J33" s="12"/>
    </row>
    <row r="34" spans="1:10">
      <c r="A34" s="86"/>
      <c r="B34" s="86"/>
      <c r="C34" s="86"/>
      <c r="D34" s="85"/>
      <c r="E34" s="22"/>
      <c r="F34" s="22"/>
      <c r="G34" s="33"/>
      <c r="H34" s="22"/>
      <c r="I34" s="22"/>
    </row>
    <row r="35" spans="1:10">
      <c r="A35" s="67"/>
      <c r="B35" s="67"/>
      <c r="C35" s="67"/>
      <c r="D35" s="70"/>
      <c r="E35" s="22"/>
      <c r="F35" s="22"/>
      <c r="G35" s="33"/>
      <c r="H35" s="22"/>
      <c r="I35" s="22"/>
    </row>
    <row r="36" spans="1:10">
      <c r="A36" s="66"/>
      <c r="B36" s="66"/>
      <c r="C36" s="69"/>
      <c r="D36" s="69"/>
      <c r="E36" s="22"/>
      <c r="F36" s="22"/>
      <c r="G36" s="33"/>
      <c r="H36" s="22"/>
      <c r="I36" s="22"/>
      <c r="J36" s="12"/>
    </row>
    <row r="37" spans="1:10">
      <c r="A37" s="86"/>
      <c r="B37" s="86"/>
      <c r="C37" s="86"/>
      <c r="D37" s="85"/>
      <c r="E37" s="22"/>
      <c r="F37" s="22"/>
      <c r="G37" s="33"/>
      <c r="H37" s="22"/>
      <c r="I37" s="22"/>
    </row>
    <row r="38" spans="1:10">
      <c r="A38" s="67"/>
      <c r="B38" s="67"/>
      <c r="C38" s="67"/>
      <c r="D38" s="70"/>
      <c r="E38" s="22"/>
      <c r="F38" s="22"/>
      <c r="G38" s="33"/>
      <c r="H38" s="22"/>
      <c r="I38" s="22"/>
    </row>
    <row r="39" spans="1:10">
      <c r="A39" s="66"/>
      <c r="B39" s="66"/>
      <c r="C39" s="66"/>
      <c r="D39" s="69"/>
      <c r="E39" s="22"/>
      <c r="F39" s="22"/>
      <c r="G39" s="33"/>
      <c r="H39" s="22"/>
      <c r="I39" s="22"/>
    </row>
    <row r="40" spans="1:10">
      <c r="A40" s="86"/>
      <c r="B40" s="86"/>
      <c r="C40" s="86"/>
      <c r="D40" s="85"/>
      <c r="E40" s="4"/>
      <c r="F40" s="4"/>
      <c r="G40" s="31"/>
      <c r="H40" s="4"/>
      <c r="I40" s="4"/>
    </row>
    <row r="41" spans="1:10">
      <c r="A41" s="67"/>
      <c r="B41" s="67"/>
      <c r="C41" s="67"/>
      <c r="D41" s="70"/>
      <c r="E41" s="4"/>
      <c r="F41" s="4"/>
      <c r="G41" s="31"/>
      <c r="H41" s="4"/>
      <c r="I41" s="4"/>
    </row>
    <row r="42" spans="1:10">
      <c r="A42" s="66"/>
      <c r="B42" s="66"/>
      <c r="C42" s="66"/>
      <c r="D42" s="69"/>
      <c r="E42" s="4"/>
      <c r="F42" s="4"/>
      <c r="G42" s="31"/>
      <c r="H42" s="4"/>
      <c r="I42" s="4"/>
    </row>
    <row r="43" spans="1:10">
      <c r="A43" s="86"/>
      <c r="B43" s="86"/>
      <c r="C43" s="86"/>
      <c r="D43" s="85"/>
      <c r="E43" s="4"/>
      <c r="F43" s="4"/>
      <c r="G43" s="31"/>
      <c r="H43" s="4"/>
      <c r="I43" s="4"/>
    </row>
    <row r="44" spans="1:10">
      <c r="A44" s="67"/>
      <c r="B44" s="67"/>
      <c r="C44" s="67"/>
      <c r="D44" s="70"/>
      <c r="E44" s="4"/>
      <c r="F44" s="4"/>
      <c r="G44" s="31"/>
      <c r="H44" s="4"/>
      <c r="I44" s="4"/>
    </row>
    <row r="45" spans="1:10">
      <c r="A45" s="66"/>
      <c r="B45" s="66"/>
      <c r="C45" s="66"/>
      <c r="D45" s="69"/>
      <c r="E45" s="4"/>
      <c r="F45" s="4"/>
      <c r="G45" s="31"/>
      <c r="H45" s="4"/>
      <c r="I45" s="4"/>
    </row>
    <row r="46" spans="1:10">
      <c r="A46" s="86"/>
      <c r="B46" s="86"/>
      <c r="C46" s="86"/>
      <c r="D46" s="85"/>
      <c r="E46" s="4"/>
      <c r="F46" s="4"/>
      <c r="G46" s="31"/>
      <c r="H46" s="4"/>
      <c r="I46" s="4"/>
    </row>
    <row r="47" spans="1:10">
      <c r="A47" s="67"/>
      <c r="B47" s="67"/>
      <c r="C47" s="67"/>
      <c r="D47" s="70"/>
      <c r="E47" s="4"/>
      <c r="F47" s="4"/>
      <c r="G47" s="31"/>
      <c r="H47" s="4"/>
      <c r="I47" s="4"/>
    </row>
    <row r="48" spans="1:10">
      <c r="A48" s="66"/>
      <c r="B48" s="66"/>
      <c r="C48" s="66"/>
      <c r="D48" s="69"/>
      <c r="E48" s="4"/>
      <c r="F48" s="4"/>
      <c r="G48" s="31"/>
      <c r="H48" s="4"/>
      <c r="I48" s="4"/>
    </row>
    <row r="49" spans="1:9">
      <c r="A49" s="86"/>
      <c r="B49" s="86"/>
      <c r="C49" s="86"/>
      <c r="D49" s="85"/>
      <c r="E49" s="4"/>
      <c r="F49" s="4"/>
      <c r="G49" s="31"/>
      <c r="H49" s="4"/>
      <c r="I49" s="4"/>
    </row>
    <row r="50" spans="1:9">
      <c r="A50" s="67"/>
      <c r="B50" s="67"/>
      <c r="C50" s="67"/>
      <c r="D50" s="70"/>
      <c r="E50" s="4"/>
      <c r="F50" s="4"/>
      <c r="G50" s="31"/>
      <c r="H50" s="4"/>
      <c r="I50" s="4"/>
    </row>
    <row r="51" spans="1:9">
      <c r="A51" s="66"/>
      <c r="B51" s="66"/>
      <c r="C51" s="66"/>
      <c r="D51" s="69"/>
      <c r="E51" s="4"/>
      <c r="F51" s="4"/>
      <c r="G51" s="31"/>
      <c r="H51" s="4"/>
      <c r="I51" s="4"/>
    </row>
    <row r="52" spans="1:9">
      <c r="A52" s="86"/>
      <c r="B52" s="86"/>
      <c r="C52" s="86"/>
      <c r="D52" s="85"/>
      <c r="E52" s="4"/>
      <c r="F52" s="4"/>
      <c r="G52" s="31"/>
      <c r="H52" s="4"/>
      <c r="I52" s="4"/>
    </row>
    <row r="53" spans="1:9">
      <c r="A53" s="67"/>
      <c r="B53" s="67"/>
      <c r="C53" s="67"/>
      <c r="D53" s="70"/>
      <c r="E53" s="4"/>
      <c r="F53" s="4"/>
      <c r="G53" s="31"/>
      <c r="H53" s="4"/>
      <c r="I53" s="4"/>
    </row>
    <row r="54" spans="1:9">
      <c r="A54" s="66"/>
      <c r="B54" s="66"/>
      <c r="C54" s="66"/>
      <c r="D54" s="69"/>
      <c r="E54" s="4"/>
      <c r="F54" s="4"/>
      <c r="G54" s="31"/>
      <c r="H54" s="4"/>
      <c r="I54" s="4"/>
    </row>
    <row r="55" spans="1:9">
      <c r="A55" s="86"/>
      <c r="B55" s="86"/>
      <c r="C55" s="86"/>
      <c r="D55" s="85"/>
      <c r="E55" s="4"/>
      <c r="F55" s="4"/>
      <c r="G55" s="31"/>
      <c r="H55" s="4"/>
      <c r="I55" s="4"/>
    </row>
    <row r="56" spans="1:9">
      <c r="A56" s="67"/>
      <c r="B56" s="67"/>
      <c r="C56" s="67"/>
      <c r="D56" s="70"/>
      <c r="E56" s="4"/>
      <c r="F56" s="4"/>
      <c r="G56" s="31"/>
      <c r="H56" s="4"/>
      <c r="I56" s="4"/>
    </row>
    <row r="57" spans="1:9">
      <c r="A57" s="66"/>
      <c r="B57" s="66"/>
      <c r="C57" s="66"/>
      <c r="D57" s="69"/>
      <c r="E57" s="4"/>
      <c r="F57" s="4"/>
      <c r="G57" s="31"/>
      <c r="H57" s="4"/>
      <c r="I57" s="4"/>
    </row>
    <row r="58" spans="1:9">
      <c r="A58" s="86"/>
      <c r="B58" s="86"/>
      <c r="C58" s="86"/>
      <c r="D58" s="85"/>
      <c r="E58" s="4"/>
      <c r="F58" s="4"/>
      <c r="G58" s="4"/>
      <c r="H58" s="4"/>
      <c r="I58" s="4"/>
    </row>
    <row r="59" spans="1:9">
      <c r="A59" s="67"/>
      <c r="B59" s="67"/>
      <c r="C59" s="67"/>
      <c r="D59" s="70"/>
      <c r="E59" s="4"/>
      <c r="F59" s="4"/>
      <c r="G59" s="4"/>
      <c r="H59" s="4"/>
      <c r="I59" s="4"/>
    </row>
    <row r="60" spans="1:9">
      <c r="A60" s="66"/>
      <c r="B60" s="66"/>
      <c r="C60" s="66"/>
      <c r="D60" s="69"/>
      <c r="E60" s="4"/>
      <c r="F60" s="4"/>
      <c r="G60" s="4"/>
      <c r="H60" s="4"/>
      <c r="I60" s="4"/>
    </row>
    <row r="61" spans="1:9">
      <c r="A61" s="86"/>
      <c r="B61" s="86"/>
      <c r="C61" s="86"/>
      <c r="D61" s="85"/>
      <c r="E61" s="4"/>
      <c r="F61" s="4"/>
      <c r="G61" s="4"/>
      <c r="H61" s="4"/>
      <c r="I61" s="4"/>
    </row>
    <row r="62" spans="1:9">
      <c r="A62" s="67"/>
      <c r="B62" s="67"/>
      <c r="C62" s="67"/>
      <c r="D62" s="70"/>
      <c r="E62" s="4"/>
      <c r="F62" s="4"/>
      <c r="G62" s="4"/>
      <c r="H62" s="4"/>
      <c r="I62" s="4"/>
    </row>
    <row r="63" spans="1:9">
      <c r="A63" s="66"/>
      <c r="B63" s="66"/>
      <c r="C63" s="66"/>
      <c r="D63" s="69"/>
      <c r="E63" s="4"/>
      <c r="F63" s="4"/>
      <c r="G63" s="4"/>
      <c r="H63" s="4"/>
      <c r="I63" s="4"/>
    </row>
    <row r="64" spans="1:9">
      <c r="A64" s="86"/>
      <c r="B64" s="86"/>
      <c r="C64" s="86"/>
      <c r="D64" s="85"/>
      <c r="E64" s="4"/>
      <c r="F64" s="4"/>
      <c r="G64" s="4"/>
      <c r="H64" s="4"/>
      <c r="I64" s="4"/>
    </row>
    <row r="65" spans="1:9">
      <c r="A65" s="67"/>
      <c r="B65" s="67"/>
      <c r="C65" s="67"/>
      <c r="D65" s="70"/>
      <c r="E65" s="4"/>
      <c r="F65" s="4"/>
      <c r="G65" s="4"/>
      <c r="H65" s="4"/>
      <c r="I65" s="4"/>
    </row>
    <row r="66" spans="1:9">
      <c r="A66" s="66"/>
      <c r="B66" s="66"/>
      <c r="C66" s="66"/>
      <c r="D66" s="69"/>
      <c r="E66" s="4"/>
      <c r="F66" s="4"/>
      <c r="G66" s="4"/>
      <c r="H66" s="4"/>
      <c r="I66" s="4"/>
    </row>
    <row r="67" spans="1:9">
      <c r="A67" s="86"/>
      <c r="B67" s="86"/>
      <c r="C67" s="86"/>
      <c r="D67" s="85"/>
      <c r="E67" s="4"/>
      <c r="F67" s="4"/>
      <c r="G67" s="4"/>
      <c r="H67" s="4"/>
      <c r="I67" s="4"/>
    </row>
    <row r="68" spans="1:9">
      <c r="A68" s="67"/>
      <c r="B68" s="67"/>
      <c r="C68" s="67"/>
      <c r="D68" s="70"/>
      <c r="E68" s="4"/>
      <c r="F68" s="4"/>
      <c r="G68" s="4"/>
      <c r="H68" s="4"/>
      <c r="I68" s="4"/>
    </row>
    <row r="69" spans="1:9">
      <c r="A69" s="66"/>
      <c r="B69" s="66"/>
      <c r="C69" s="66"/>
      <c r="D69" s="69"/>
      <c r="E69" s="4"/>
      <c r="F69" s="4"/>
      <c r="G69" s="4" t="str">
        <f t="shared" ref="G69" si="1">IFERROR(SUBSTITUTE(F69,"V","")/SUBSTITUTE(E69,"V","")*100, "")</f>
        <v/>
      </c>
      <c r="H69" s="4"/>
      <c r="I69" s="4" t="str">
        <f t="shared" ref="I69:I71" si="2">IFERROR(IF(G69 &lt;= VALUE(SUBSTITUTE(SUBSTITUTE(H69,"≤ ",""),"%","")), "Pass", "Fail"), "")</f>
        <v/>
      </c>
    </row>
    <row r="70" spans="1:9">
      <c r="A70" s="86"/>
      <c r="B70" s="86"/>
      <c r="C70" s="86"/>
      <c r="D70" s="85"/>
      <c r="E70" s="4"/>
      <c r="F70" s="4"/>
      <c r="G70" s="4" t="str">
        <f t="shared" ref="G70" si="3">IFERROR(SUBSTITUTE(F70,"A","")/SUBSTITUTE(E70,"A","")*100, "")</f>
        <v/>
      </c>
      <c r="H70" s="4"/>
      <c r="I70" s="4" t="str">
        <f t="shared" si="2"/>
        <v/>
      </c>
    </row>
    <row r="71" spans="1:9">
      <c r="A71" s="67"/>
      <c r="B71" s="67"/>
      <c r="C71" s="67"/>
      <c r="D71" s="70"/>
      <c r="E71" s="4"/>
      <c r="F71" s="4"/>
      <c r="G71" s="4" t="str">
        <f t="shared" ref="G71" si="4">IFERROR(SUBSTITUTE(F71,"W","")/SUBSTITUTE(E71,"W","")*100, "")</f>
        <v/>
      </c>
      <c r="H71" s="4"/>
      <c r="I71" s="4" t="str">
        <f t="shared" si="2"/>
        <v/>
      </c>
    </row>
    <row r="72" spans="1:9">
      <c r="A72" s="66"/>
      <c r="B72" s="66"/>
      <c r="C72" s="66"/>
      <c r="D72" s="69"/>
      <c r="E72" s="4"/>
      <c r="F72" s="4"/>
      <c r="G72" s="4" t="str">
        <f t="shared" ref="G72" si="5">IFERROR(SUBSTITUTE(F72,"V","")/SUBSTITUTE(E72,"V","")*100, "")</f>
        <v/>
      </c>
      <c r="H72" s="4"/>
      <c r="I72" s="4" t="str">
        <f t="shared" ref="I72:I80" si="6">IFERROR(IF(G72 &lt;= VALUE(SUBSTITUTE(SUBSTITUTE(H72,"≤ ",""),"%","")), "Pass", "Fail"), "")</f>
        <v/>
      </c>
    </row>
    <row r="73" spans="1:9">
      <c r="A73" s="86"/>
      <c r="B73" s="86"/>
      <c r="C73" s="86"/>
      <c r="D73" s="85"/>
      <c r="E73" s="4"/>
      <c r="F73" s="4"/>
      <c r="G73" s="4" t="str">
        <f t="shared" ref="G73" si="7">IFERROR(SUBSTITUTE(F73,"A","")/SUBSTITUTE(E73,"A","")*100, "")</f>
        <v/>
      </c>
      <c r="H73" s="4"/>
      <c r="I73" s="4" t="str">
        <f t="shared" si="6"/>
        <v/>
      </c>
    </row>
    <row r="74" spans="1:9">
      <c r="A74" s="67"/>
      <c r="B74" s="67"/>
      <c r="C74" s="67"/>
      <c r="D74" s="70"/>
      <c r="E74" s="4"/>
      <c r="F74" s="4"/>
      <c r="G74" s="4" t="str">
        <f t="shared" ref="G74" si="8">IFERROR(SUBSTITUTE(F74,"W","")/SUBSTITUTE(E74,"W","")*100, "")</f>
        <v/>
      </c>
      <c r="H74" s="4"/>
      <c r="I74" s="4" t="str">
        <f t="shared" si="6"/>
        <v/>
      </c>
    </row>
    <row r="75" spans="1:9">
      <c r="A75" s="66"/>
      <c r="B75" s="66"/>
      <c r="C75" s="66"/>
      <c r="D75" s="69"/>
      <c r="E75" s="4"/>
      <c r="F75" s="4"/>
      <c r="G75" s="4" t="str">
        <f t="shared" ref="G75" si="9">IFERROR(SUBSTITUTE(F75,"V","")/SUBSTITUTE(E75,"V","")*100, "")</f>
        <v/>
      </c>
      <c r="H75" s="4"/>
      <c r="I75" s="4" t="str">
        <f t="shared" si="6"/>
        <v/>
      </c>
    </row>
    <row r="76" spans="1:9">
      <c r="A76" s="86"/>
      <c r="B76" s="86"/>
      <c r="C76" s="86"/>
      <c r="D76" s="85"/>
      <c r="E76" s="4"/>
      <c r="F76" s="4"/>
      <c r="G76" s="4" t="str">
        <f t="shared" ref="G76" si="10">IFERROR(SUBSTITUTE(F76,"A","")/SUBSTITUTE(E76,"A","")*100, "")</f>
        <v/>
      </c>
      <c r="H76" s="4"/>
      <c r="I76" s="4" t="str">
        <f t="shared" si="6"/>
        <v/>
      </c>
    </row>
    <row r="77" spans="1:9">
      <c r="A77" s="67"/>
      <c r="B77" s="67"/>
      <c r="C77" s="67"/>
      <c r="D77" s="70"/>
      <c r="E77" s="4"/>
      <c r="F77" s="4"/>
      <c r="G77" s="4" t="str">
        <f t="shared" ref="G77" si="11">IFERROR(SUBSTITUTE(F77,"W","")/SUBSTITUTE(E77,"W","")*100, "")</f>
        <v/>
      </c>
      <c r="H77" s="4"/>
      <c r="I77" s="4" t="str">
        <f t="shared" si="6"/>
        <v/>
      </c>
    </row>
    <row r="78" spans="1:9">
      <c r="A78" s="66"/>
      <c r="B78" s="66"/>
      <c r="C78" s="66"/>
      <c r="D78" s="69"/>
      <c r="E78" s="4"/>
      <c r="F78" s="4"/>
      <c r="G78" s="4" t="str">
        <f t="shared" ref="G78" si="12">IFERROR(SUBSTITUTE(F78,"V","")/SUBSTITUTE(E78,"V","")*100, "")</f>
        <v/>
      </c>
      <c r="H78" s="4"/>
      <c r="I78" s="4" t="str">
        <f t="shared" si="6"/>
        <v/>
      </c>
    </row>
    <row r="79" spans="1:9">
      <c r="A79" s="86"/>
      <c r="B79" s="86"/>
      <c r="C79" s="86"/>
      <c r="D79" s="85"/>
      <c r="E79" s="4"/>
      <c r="F79" s="4"/>
      <c r="G79" s="4" t="str">
        <f t="shared" ref="G79" si="13">IFERROR(SUBSTITUTE(F79,"A","")/SUBSTITUTE(E79,"A","")*100, "")</f>
        <v/>
      </c>
      <c r="H79" s="4"/>
      <c r="I79" s="4" t="str">
        <f t="shared" si="6"/>
        <v/>
      </c>
    </row>
    <row r="80" spans="1:9">
      <c r="A80" s="67"/>
      <c r="B80" s="67"/>
      <c r="C80" s="67"/>
      <c r="D80" s="70"/>
      <c r="E80" s="4"/>
      <c r="F80" s="4"/>
      <c r="G80" s="4" t="str">
        <f t="shared" ref="G80" si="14">IFERROR(SUBSTITUTE(F80,"W","")/SUBSTITUTE(E80,"W","")*100, "")</f>
        <v/>
      </c>
      <c r="H80" s="4"/>
      <c r="I80" s="4" t="str">
        <f t="shared" si="6"/>
        <v/>
      </c>
    </row>
  </sheetData>
  <mergeCells count="106">
    <mergeCell ref="C30:C32"/>
    <mergeCell ref="D30:D32"/>
    <mergeCell ref="A27:A29"/>
    <mergeCell ref="A78:A80"/>
    <mergeCell ref="B78:B80"/>
    <mergeCell ref="C78:C80"/>
    <mergeCell ref="D78:D80"/>
    <mergeCell ref="A72:A74"/>
    <mergeCell ref="B72:B74"/>
    <mergeCell ref="C72:C74"/>
    <mergeCell ref="D72:D74"/>
    <mergeCell ref="A75:A77"/>
    <mergeCell ref="B75:B77"/>
    <mergeCell ref="C75:C77"/>
    <mergeCell ref="D75:D77"/>
    <mergeCell ref="B9:B11"/>
    <mergeCell ref="C9:C11"/>
    <mergeCell ref="D9:D11"/>
    <mergeCell ref="D36:D38"/>
    <mergeCell ref="A39:A41"/>
    <mergeCell ref="B39:B41"/>
    <mergeCell ref="C39:C41"/>
    <mergeCell ref="D39:D41"/>
    <mergeCell ref="C18:C20"/>
    <mergeCell ref="D18:D20"/>
    <mergeCell ref="A21:A23"/>
    <mergeCell ref="B21:B23"/>
    <mergeCell ref="C21:C23"/>
    <mergeCell ref="D21:D23"/>
    <mergeCell ref="A18:A20"/>
    <mergeCell ref="B18:B20"/>
    <mergeCell ref="D33:D35"/>
    <mergeCell ref="A24:A26"/>
    <mergeCell ref="B24:B26"/>
    <mergeCell ref="C24:C26"/>
    <mergeCell ref="D24:D26"/>
    <mergeCell ref="D27:D29"/>
    <mergeCell ref="A30:A32"/>
    <mergeCell ref="B30:B32"/>
    <mergeCell ref="A69:A71"/>
    <mergeCell ref="B69:B71"/>
    <mergeCell ref="C69:C71"/>
    <mergeCell ref="A60:A62"/>
    <mergeCell ref="B60:B62"/>
    <mergeCell ref="C60:C62"/>
    <mergeCell ref="A63:A65"/>
    <mergeCell ref="B63:B65"/>
    <mergeCell ref="C63:C65"/>
    <mergeCell ref="A66:A68"/>
    <mergeCell ref="B66:B68"/>
    <mergeCell ref="C66:C68"/>
    <mergeCell ref="A57:A59"/>
    <mergeCell ref="B57:B59"/>
    <mergeCell ref="C57:C59"/>
    <mergeCell ref="A48:A50"/>
    <mergeCell ref="B48:B50"/>
    <mergeCell ref="C48:C50"/>
    <mergeCell ref="A51:A53"/>
    <mergeCell ref="B51:B53"/>
    <mergeCell ref="C51:C53"/>
    <mergeCell ref="A54:A56"/>
    <mergeCell ref="B54:B56"/>
    <mergeCell ref="C54:C56"/>
    <mergeCell ref="A45:A47"/>
    <mergeCell ref="B45:B47"/>
    <mergeCell ref="C45:C47"/>
    <mergeCell ref="A36:A38"/>
    <mergeCell ref="B36:B38"/>
    <mergeCell ref="A42:A44"/>
    <mergeCell ref="B42:B44"/>
    <mergeCell ref="C42:C44"/>
    <mergeCell ref="C36:C38"/>
    <mergeCell ref="B27:B29"/>
    <mergeCell ref="C27:C29"/>
    <mergeCell ref="A33:A35"/>
    <mergeCell ref="B33:B35"/>
    <mergeCell ref="C33:C35"/>
    <mergeCell ref="A1:I1"/>
    <mergeCell ref="A2:B2"/>
    <mergeCell ref="E2:I2"/>
    <mergeCell ref="A3:B3"/>
    <mergeCell ref="E3:I4"/>
    <mergeCell ref="A4:B4"/>
    <mergeCell ref="C12:C14"/>
    <mergeCell ref="D12:D14"/>
    <mergeCell ref="A15:A17"/>
    <mergeCell ref="B15:B17"/>
    <mergeCell ref="C15:C17"/>
    <mergeCell ref="D15:D17"/>
    <mergeCell ref="A12:A14"/>
    <mergeCell ref="B12:B14"/>
    <mergeCell ref="A6:A8"/>
    <mergeCell ref="B6:B8"/>
    <mergeCell ref="C6:C8"/>
    <mergeCell ref="D6:D8"/>
    <mergeCell ref="A9:A11"/>
    <mergeCell ref="D69:D71"/>
    <mergeCell ref="D42:D44"/>
    <mergeCell ref="D45:D47"/>
    <mergeCell ref="D48:D50"/>
    <mergeCell ref="D51:D53"/>
    <mergeCell ref="D54:D56"/>
    <mergeCell ref="D57:D59"/>
    <mergeCell ref="D60:D62"/>
    <mergeCell ref="D63:D65"/>
    <mergeCell ref="D66:D68"/>
  </mergeCells>
  <phoneticPr fontId="2" type="noConversion"/>
  <pageMargins left="0.7" right="0.7" top="0.75" bottom="0.75" header="0.3" footer="0.3"/>
  <pageSetup paperSize="9" scale="53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9"/>
  <sheetViews>
    <sheetView view="pageBreakPreview" zoomScale="115" zoomScaleNormal="100" zoomScaleSheetLayoutView="115" workbookViewId="0">
      <selection activeCell="F36" sqref="F36"/>
    </sheetView>
  </sheetViews>
  <sheetFormatPr defaultColWidth="9" defaultRowHeight="16.5"/>
  <cols>
    <col min="1" max="1" width="6.125" style="1" customWidth="1"/>
    <col min="2" max="2" width="7.625" style="1" customWidth="1"/>
    <col min="3" max="3" width="20" style="1" bestFit="1" customWidth="1"/>
    <col min="4" max="5" width="17.75" style="1" customWidth="1"/>
    <col min="6" max="6" width="17.75" style="3" customWidth="1"/>
    <col min="7" max="8" width="17.75" style="1" customWidth="1"/>
    <col min="9" max="16384" width="9" style="1"/>
  </cols>
  <sheetData>
    <row r="1" spans="1:8" s="2" customFormat="1" ht="31.5">
      <c r="A1" s="61" t="s">
        <v>17</v>
      </c>
      <c r="B1" s="61"/>
      <c r="C1" s="61"/>
      <c r="D1" s="61"/>
      <c r="E1" s="61"/>
      <c r="F1" s="61"/>
      <c r="G1" s="61"/>
      <c r="H1" s="61"/>
    </row>
    <row r="2" spans="1:8" s="2" customFormat="1">
      <c r="A2" s="62" t="s">
        <v>21</v>
      </c>
      <c r="B2" s="63"/>
      <c r="C2" s="9"/>
      <c r="D2" s="64" t="s">
        <v>22</v>
      </c>
      <c r="E2" s="64"/>
      <c r="F2" s="64"/>
      <c r="G2" s="64"/>
      <c r="H2" s="64"/>
    </row>
    <row r="3" spans="1:8" s="2" customFormat="1">
      <c r="A3" s="62" t="s">
        <v>20</v>
      </c>
      <c r="B3" s="63"/>
      <c r="C3" s="9"/>
      <c r="D3" s="65"/>
      <c r="E3" s="65"/>
      <c r="F3" s="65"/>
      <c r="G3" s="65"/>
      <c r="H3" s="65"/>
    </row>
    <row r="4" spans="1:8" s="2" customFormat="1">
      <c r="A4" s="62" t="s">
        <v>19</v>
      </c>
      <c r="B4" s="63"/>
      <c r="C4" s="9"/>
      <c r="D4" s="65"/>
      <c r="E4" s="65"/>
      <c r="F4" s="65"/>
      <c r="G4" s="65"/>
      <c r="H4" s="65"/>
    </row>
    <row r="5" spans="1:8">
      <c r="A5" s="8" t="s">
        <v>8</v>
      </c>
      <c r="B5" s="8" t="s">
        <v>9</v>
      </c>
      <c r="C5" s="5" t="s">
        <v>0</v>
      </c>
      <c r="D5" s="5" t="s">
        <v>1</v>
      </c>
      <c r="E5" s="5" t="s">
        <v>2</v>
      </c>
      <c r="F5" s="7" t="s">
        <v>10</v>
      </c>
      <c r="G5" s="5" t="s">
        <v>3</v>
      </c>
      <c r="H5" s="5" t="s">
        <v>11</v>
      </c>
    </row>
    <row r="6" spans="1:8">
      <c r="A6" s="4">
        <v>1</v>
      </c>
      <c r="B6" s="4" t="s">
        <v>64</v>
      </c>
      <c r="C6" s="4" t="s">
        <v>65</v>
      </c>
      <c r="D6" s="4"/>
      <c r="E6" s="4"/>
      <c r="F6" s="6" t="str">
        <f>IFERROR(SUBSTITUTE(E6,"V","")/SUBSTITUTE(D6,"V","")*100, "")</f>
        <v/>
      </c>
      <c r="G6" s="4" t="s">
        <v>6</v>
      </c>
      <c r="H6" s="4" t="str">
        <f t="shared" ref="H6" si="0">IFERROR(IF(F6 &lt;= VALUE(SUBSTITUTE(SUBSTITUTE(G6,"≤ ",""),"%","")), "Pass", "Fail"), "")</f>
        <v>Fail</v>
      </c>
    </row>
    <row r="7" spans="1:8">
      <c r="A7" s="4"/>
      <c r="B7" s="4"/>
      <c r="C7" s="4"/>
      <c r="D7" s="4"/>
      <c r="E7" s="4"/>
      <c r="F7" s="6"/>
      <c r="G7" s="4"/>
      <c r="H7" s="4"/>
    </row>
    <row r="8" spans="1:8">
      <c r="A8" s="4"/>
      <c r="B8" s="4"/>
      <c r="C8" s="4"/>
      <c r="D8" s="4"/>
      <c r="E8" s="4"/>
      <c r="F8" s="6"/>
      <c r="G8" s="4"/>
      <c r="H8" s="4"/>
    </row>
    <row r="9" spans="1:8">
      <c r="A9" s="4"/>
      <c r="B9" s="4"/>
      <c r="C9" s="4"/>
      <c r="D9" s="4"/>
      <c r="E9" s="4"/>
      <c r="F9" s="6"/>
      <c r="G9" s="4"/>
      <c r="H9" s="4"/>
    </row>
    <row r="10" spans="1:8">
      <c r="A10" s="4"/>
      <c r="B10" s="4"/>
      <c r="C10" s="4"/>
      <c r="D10" s="4"/>
      <c r="E10" s="4"/>
      <c r="F10" s="6"/>
      <c r="G10" s="4"/>
      <c r="H10" s="4"/>
    </row>
    <row r="11" spans="1:8">
      <c r="A11" s="4"/>
      <c r="B11" s="4"/>
      <c r="C11" s="4"/>
      <c r="D11" s="4"/>
      <c r="E11" s="4"/>
      <c r="F11" s="6"/>
      <c r="G11" s="4"/>
      <c r="H11" s="4"/>
    </row>
    <row r="12" spans="1:8">
      <c r="A12" s="4"/>
      <c r="B12" s="4"/>
      <c r="C12" s="4"/>
      <c r="D12" s="4"/>
      <c r="E12" s="4"/>
      <c r="F12" s="6"/>
      <c r="G12" s="4"/>
      <c r="H12" s="4"/>
    </row>
    <row r="13" spans="1:8">
      <c r="A13" s="4"/>
      <c r="B13" s="4"/>
      <c r="C13" s="4"/>
      <c r="D13" s="4"/>
      <c r="E13" s="4"/>
      <c r="F13" s="6"/>
      <c r="G13" s="4"/>
      <c r="H13" s="4"/>
    </row>
    <row r="14" spans="1:8">
      <c r="A14" s="4"/>
      <c r="B14" s="4"/>
      <c r="C14" s="4"/>
      <c r="D14" s="4"/>
      <c r="E14" s="4"/>
      <c r="F14" s="6"/>
      <c r="G14" s="4"/>
      <c r="H14" s="4"/>
    </row>
    <row r="15" spans="1:8">
      <c r="A15" s="4"/>
      <c r="B15" s="4"/>
      <c r="C15" s="4"/>
      <c r="D15" s="4"/>
      <c r="E15" s="4"/>
      <c r="F15" s="6"/>
      <c r="G15" s="4"/>
      <c r="H15" s="4"/>
    </row>
    <row r="16" spans="1:8">
      <c r="A16" s="4"/>
      <c r="B16" s="4"/>
      <c r="C16" s="4"/>
      <c r="D16" s="4"/>
      <c r="E16" s="4"/>
      <c r="F16" s="6"/>
      <c r="G16" s="4"/>
      <c r="H16" s="4"/>
    </row>
    <row r="17" spans="1:8">
      <c r="A17" s="4"/>
      <c r="B17" s="4"/>
      <c r="C17" s="4"/>
      <c r="D17" s="4"/>
      <c r="E17" s="4"/>
      <c r="F17" s="6"/>
      <c r="G17" s="4"/>
      <c r="H17" s="4"/>
    </row>
    <row r="18" spans="1:8">
      <c r="A18" s="4"/>
      <c r="B18" s="4"/>
      <c r="C18" s="4"/>
      <c r="D18" s="4"/>
      <c r="E18" s="4"/>
      <c r="F18" s="6"/>
      <c r="G18" s="4"/>
      <c r="H18" s="4"/>
    </row>
    <row r="19" spans="1:8">
      <c r="A19" s="4"/>
      <c r="B19" s="4"/>
      <c r="C19" s="4"/>
      <c r="D19" s="4"/>
      <c r="E19" s="4"/>
      <c r="F19" s="6"/>
      <c r="G19" s="4"/>
      <c r="H19" s="4"/>
    </row>
    <row r="20" spans="1:8">
      <c r="A20" s="4"/>
      <c r="B20" s="4"/>
      <c r="C20" s="4"/>
      <c r="D20" s="4"/>
      <c r="E20" s="4"/>
      <c r="F20" s="6"/>
      <c r="G20" s="4"/>
      <c r="H20" s="4"/>
    </row>
    <row r="21" spans="1:8">
      <c r="A21" s="4"/>
      <c r="B21" s="4"/>
      <c r="C21" s="4"/>
      <c r="D21" s="4"/>
      <c r="E21" s="4"/>
      <c r="F21" s="6"/>
      <c r="G21" s="4"/>
      <c r="H21" s="4"/>
    </row>
    <row r="22" spans="1:8">
      <c r="A22" s="4"/>
      <c r="B22" s="4"/>
      <c r="C22" s="4"/>
      <c r="D22" s="4"/>
      <c r="E22" s="4"/>
      <c r="F22" s="6"/>
      <c r="G22" s="4"/>
      <c r="H22" s="4"/>
    </row>
    <row r="23" spans="1:8">
      <c r="A23" s="4"/>
      <c r="B23" s="4"/>
      <c r="C23" s="4"/>
      <c r="D23" s="4"/>
      <c r="E23" s="4"/>
      <c r="F23" s="6"/>
      <c r="G23" s="4"/>
      <c r="H23" s="4"/>
    </row>
    <row r="24" spans="1:8">
      <c r="A24" s="4"/>
      <c r="B24" s="4"/>
      <c r="C24" s="4"/>
      <c r="D24" s="4"/>
      <c r="E24" s="4"/>
      <c r="F24" s="6"/>
      <c r="G24" s="4"/>
      <c r="H24" s="4"/>
    </row>
    <row r="25" spans="1:8">
      <c r="A25" s="4"/>
      <c r="B25" s="4"/>
      <c r="C25" s="4"/>
      <c r="D25" s="4"/>
      <c r="E25" s="4"/>
      <c r="F25" s="6"/>
      <c r="G25" s="4"/>
      <c r="H25" s="4"/>
    </row>
    <row r="26" spans="1:8">
      <c r="A26" s="4"/>
      <c r="B26" s="4"/>
      <c r="C26" s="4"/>
      <c r="D26" s="4"/>
      <c r="E26" s="4"/>
      <c r="F26" s="6"/>
      <c r="G26" s="4"/>
      <c r="H26" s="4"/>
    </row>
    <row r="27" spans="1:8">
      <c r="A27" s="4"/>
      <c r="B27" s="4"/>
      <c r="C27" s="4"/>
      <c r="D27" s="4"/>
      <c r="E27" s="4"/>
      <c r="F27" s="6" t="str">
        <f t="shared" ref="F27:F39" si="1">IFERROR(SUBSTITUTE(E27,"V","")/SUBSTITUTE(D27,"V","")*100, "")</f>
        <v/>
      </c>
      <c r="G27" s="4"/>
      <c r="H27" s="4" t="str">
        <f t="shared" ref="H27:H39" si="2">IFERROR(IF(F27 &lt;= VALUE(SUBSTITUTE(SUBSTITUTE(G27,"≤ ",""),"%","")), "Pass", "Fail"), "")</f>
        <v/>
      </c>
    </row>
    <row r="28" spans="1:8">
      <c r="A28" s="4"/>
      <c r="B28" s="4"/>
      <c r="C28" s="4"/>
      <c r="D28" s="4"/>
      <c r="E28" s="4"/>
      <c r="F28" s="6" t="str">
        <f t="shared" si="1"/>
        <v/>
      </c>
      <c r="G28" s="4"/>
      <c r="H28" s="4" t="str">
        <f t="shared" si="2"/>
        <v/>
      </c>
    </row>
    <row r="29" spans="1:8">
      <c r="A29" s="4"/>
      <c r="B29" s="4"/>
      <c r="C29" s="4"/>
      <c r="D29" s="4"/>
      <c r="E29" s="4"/>
      <c r="F29" s="6" t="str">
        <f t="shared" si="1"/>
        <v/>
      </c>
      <c r="G29" s="4"/>
      <c r="H29" s="4" t="str">
        <f t="shared" si="2"/>
        <v/>
      </c>
    </row>
    <row r="30" spans="1:8">
      <c r="A30" s="4"/>
      <c r="B30" s="4"/>
      <c r="C30" s="4"/>
      <c r="D30" s="4"/>
      <c r="E30" s="4"/>
      <c r="F30" s="6" t="str">
        <f t="shared" si="1"/>
        <v/>
      </c>
      <c r="G30" s="4"/>
      <c r="H30" s="4" t="str">
        <f t="shared" si="2"/>
        <v/>
      </c>
    </row>
    <row r="31" spans="1:8">
      <c r="A31" s="4"/>
      <c r="B31" s="4"/>
      <c r="C31" s="4"/>
      <c r="D31" s="4"/>
      <c r="E31" s="4"/>
      <c r="F31" s="6" t="str">
        <f t="shared" si="1"/>
        <v/>
      </c>
      <c r="G31" s="4"/>
      <c r="H31" s="4" t="str">
        <f t="shared" si="2"/>
        <v/>
      </c>
    </row>
    <row r="32" spans="1:8">
      <c r="A32" s="4"/>
      <c r="B32" s="4"/>
      <c r="C32" s="4"/>
      <c r="D32" s="4"/>
      <c r="E32" s="4"/>
      <c r="F32" s="6" t="str">
        <f t="shared" si="1"/>
        <v/>
      </c>
      <c r="G32" s="4"/>
      <c r="H32" s="4" t="str">
        <f t="shared" si="2"/>
        <v/>
      </c>
    </row>
    <row r="33" spans="1:8">
      <c r="A33" s="4"/>
      <c r="B33" s="4"/>
      <c r="C33" s="4"/>
      <c r="D33" s="4"/>
      <c r="E33" s="4"/>
      <c r="F33" s="6" t="str">
        <f t="shared" si="1"/>
        <v/>
      </c>
      <c r="G33" s="4"/>
      <c r="H33" s="4" t="str">
        <f t="shared" si="2"/>
        <v/>
      </c>
    </row>
    <row r="34" spans="1:8">
      <c r="A34" s="4"/>
      <c r="B34" s="4"/>
      <c r="C34" s="4"/>
      <c r="D34" s="4"/>
      <c r="E34" s="4"/>
      <c r="F34" s="6" t="str">
        <f t="shared" si="1"/>
        <v/>
      </c>
      <c r="G34" s="4"/>
      <c r="H34" s="4" t="str">
        <f t="shared" si="2"/>
        <v/>
      </c>
    </row>
    <row r="35" spans="1:8">
      <c r="A35" s="4"/>
      <c r="B35" s="4"/>
      <c r="C35" s="4"/>
      <c r="D35" s="4"/>
      <c r="E35" s="4"/>
      <c r="F35" s="6" t="str">
        <f t="shared" si="1"/>
        <v/>
      </c>
      <c r="G35" s="4"/>
      <c r="H35" s="4" t="str">
        <f t="shared" si="2"/>
        <v/>
      </c>
    </row>
    <row r="36" spans="1:8">
      <c r="A36" s="4"/>
      <c r="B36" s="4"/>
      <c r="C36" s="4"/>
      <c r="D36" s="4"/>
      <c r="E36" s="4"/>
      <c r="F36" s="6" t="str">
        <f t="shared" si="1"/>
        <v/>
      </c>
      <c r="G36" s="4"/>
      <c r="H36" s="4" t="str">
        <f t="shared" si="2"/>
        <v/>
      </c>
    </row>
    <row r="37" spans="1:8">
      <c r="A37" s="4"/>
      <c r="B37" s="4"/>
      <c r="C37" s="4"/>
      <c r="D37" s="4"/>
      <c r="E37" s="4"/>
      <c r="F37" s="6" t="str">
        <f t="shared" si="1"/>
        <v/>
      </c>
      <c r="G37" s="4"/>
      <c r="H37" s="4" t="str">
        <f t="shared" si="2"/>
        <v/>
      </c>
    </row>
    <row r="38" spans="1:8">
      <c r="A38" s="4"/>
      <c r="B38" s="4"/>
      <c r="C38" s="4"/>
      <c r="D38" s="4"/>
      <c r="E38" s="4"/>
      <c r="F38" s="6" t="str">
        <f t="shared" si="1"/>
        <v/>
      </c>
      <c r="G38" s="4"/>
      <c r="H38" s="4" t="str">
        <f t="shared" si="2"/>
        <v/>
      </c>
    </row>
    <row r="39" spans="1:8">
      <c r="A39" s="4"/>
      <c r="B39" s="4"/>
      <c r="C39" s="4"/>
      <c r="D39" s="4"/>
      <c r="E39" s="4"/>
      <c r="F39" s="6" t="str">
        <f t="shared" si="1"/>
        <v/>
      </c>
      <c r="G39" s="4"/>
      <c r="H39" s="4" t="str">
        <f t="shared" si="2"/>
        <v/>
      </c>
    </row>
  </sheetData>
  <mergeCells count="6">
    <mergeCell ref="A1:H1"/>
    <mergeCell ref="A2:B2"/>
    <mergeCell ref="A3:B3"/>
    <mergeCell ref="A4:B4"/>
    <mergeCell ref="D2:H2"/>
    <mergeCell ref="D3:H4"/>
  </mergeCells>
  <phoneticPr fontId="2" type="noConversion"/>
  <pageMargins left="0.7" right="0.7" top="0.75" bottom="0.75" header="0.3" footer="0.3"/>
  <pageSetup paperSize="9" scale="67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5"/>
  <sheetViews>
    <sheetView view="pageBreakPreview" zoomScale="115" zoomScaleNormal="100" zoomScaleSheetLayoutView="115" workbookViewId="0">
      <selection activeCell="G23" sqref="G23"/>
    </sheetView>
  </sheetViews>
  <sheetFormatPr defaultColWidth="9" defaultRowHeight="16.5"/>
  <cols>
    <col min="1" max="1" width="6.125" style="1" customWidth="1"/>
    <col min="2" max="2" width="7.625" style="1" customWidth="1"/>
    <col min="3" max="5" width="19.625" style="1" customWidth="1"/>
    <col min="6" max="6" width="19.625" style="3" customWidth="1"/>
    <col min="7" max="8" width="19.625" style="1" customWidth="1"/>
    <col min="9" max="16384" width="9" style="1"/>
  </cols>
  <sheetData>
    <row r="1" spans="1:8" s="2" customFormat="1" ht="31.5">
      <c r="A1" s="61" t="s">
        <v>18</v>
      </c>
      <c r="B1" s="61"/>
      <c r="C1" s="61"/>
      <c r="D1" s="61"/>
      <c r="E1" s="61"/>
      <c r="F1" s="61"/>
      <c r="G1" s="61"/>
      <c r="H1" s="61"/>
    </row>
    <row r="2" spans="1:8" s="2" customFormat="1">
      <c r="A2" s="62" t="s">
        <v>21</v>
      </c>
      <c r="B2" s="63"/>
      <c r="C2" s="9"/>
      <c r="D2" s="64" t="s">
        <v>22</v>
      </c>
      <c r="E2" s="64"/>
      <c r="F2" s="64"/>
      <c r="G2" s="64"/>
      <c r="H2" s="64"/>
    </row>
    <row r="3" spans="1:8" s="2" customFormat="1">
      <c r="A3" s="62" t="s">
        <v>20</v>
      </c>
      <c r="B3" s="63"/>
      <c r="C3" s="9"/>
      <c r="D3" s="65"/>
      <c r="E3" s="65"/>
      <c r="F3" s="65"/>
      <c r="G3" s="65"/>
      <c r="H3" s="65"/>
    </row>
    <row r="4" spans="1:8" s="2" customFormat="1">
      <c r="A4" s="62" t="s">
        <v>19</v>
      </c>
      <c r="B4" s="63"/>
      <c r="C4" s="9"/>
      <c r="D4" s="65"/>
      <c r="E4" s="65"/>
      <c r="F4" s="65"/>
      <c r="G4" s="65"/>
      <c r="H4" s="65"/>
    </row>
    <row r="5" spans="1:8">
      <c r="A5" s="8" t="s">
        <v>8</v>
      </c>
      <c r="B5" s="8" t="s">
        <v>9</v>
      </c>
      <c r="C5" s="5" t="s">
        <v>0</v>
      </c>
      <c r="D5" s="5" t="s">
        <v>1</v>
      </c>
      <c r="E5" s="5" t="s">
        <v>2</v>
      </c>
      <c r="F5" s="7" t="s">
        <v>10</v>
      </c>
      <c r="G5" s="5" t="s">
        <v>3</v>
      </c>
      <c r="H5" s="5" t="s">
        <v>11</v>
      </c>
    </row>
    <row r="6" spans="1:8">
      <c r="A6" s="4">
        <v>1</v>
      </c>
      <c r="B6" s="4" t="s">
        <v>57</v>
      </c>
      <c r="C6" s="4" t="s">
        <v>56</v>
      </c>
      <c r="D6" s="4"/>
      <c r="E6" s="4"/>
      <c r="F6" s="6" t="str">
        <f>IFERROR(SUBSTITUTE(E6,"A","")/SUBSTITUTE(D6,"A/pin","")*100, "")</f>
        <v/>
      </c>
      <c r="G6" s="4" t="s">
        <v>5</v>
      </c>
      <c r="H6" s="4" t="str">
        <f t="shared" ref="H6" si="0">IFERROR(IF(F6 &lt;= VALUE(SUBSTITUTE(SUBSTITUTE(G6,"≤ ",""),"%","")), "Pass", "Fail"), "")</f>
        <v>Fail</v>
      </c>
    </row>
    <row r="7" spans="1:8">
      <c r="A7" s="4"/>
      <c r="B7" s="22"/>
      <c r="C7" s="22"/>
      <c r="D7" s="22"/>
      <c r="E7" s="22"/>
      <c r="F7" s="23"/>
      <c r="G7" s="22"/>
      <c r="H7" s="22"/>
    </row>
    <row r="8" spans="1:8">
      <c r="A8" s="4"/>
      <c r="B8" s="4"/>
      <c r="C8" s="4"/>
      <c r="D8" s="4"/>
      <c r="E8" s="4"/>
      <c r="F8" s="6"/>
      <c r="G8" s="4"/>
      <c r="H8" s="4"/>
    </row>
    <row r="9" spans="1:8">
      <c r="A9" s="4"/>
      <c r="B9" s="4"/>
      <c r="C9" s="4"/>
      <c r="D9" s="4"/>
      <c r="E9" s="4"/>
      <c r="F9" s="6"/>
      <c r="G9" s="4"/>
      <c r="H9" s="4"/>
    </row>
    <row r="10" spans="1:8">
      <c r="A10" s="4"/>
      <c r="B10" s="4"/>
      <c r="C10" s="4"/>
      <c r="D10" s="4"/>
      <c r="E10" s="4"/>
      <c r="F10" s="6"/>
      <c r="G10" s="4"/>
      <c r="H10" s="4"/>
    </row>
    <row r="11" spans="1:8">
      <c r="A11" s="4"/>
      <c r="B11" s="4"/>
      <c r="C11" s="4"/>
      <c r="D11" s="4"/>
      <c r="E11" s="4"/>
      <c r="F11" s="6"/>
      <c r="G11" s="4"/>
      <c r="H11" s="4"/>
    </row>
    <row r="12" spans="1:8">
      <c r="A12" s="4"/>
      <c r="B12" s="4"/>
      <c r="C12" s="4"/>
      <c r="D12" s="4"/>
      <c r="E12" s="4"/>
      <c r="F12" s="6"/>
      <c r="G12" s="4"/>
      <c r="H12" s="4"/>
    </row>
    <row r="13" spans="1:8">
      <c r="A13" s="4"/>
      <c r="B13" s="4"/>
      <c r="C13" s="4"/>
      <c r="D13" s="4"/>
      <c r="E13" s="4"/>
      <c r="F13" s="6"/>
      <c r="G13" s="4"/>
      <c r="H13" s="4"/>
    </row>
    <row r="14" spans="1:8">
      <c r="A14" s="4"/>
      <c r="B14" s="4"/>
      <c r="C14" s="4"/>
      <c r="D14" s="4"/>
      <c r="E14" s="4"/>
      <c r="F14" s="6"/>
      <c r="G14" s="4"/>
      <c r="H14" s="4"/>
    </row>
    <row r="15" spans="1:8">
      <c r="A15" s="4"/>
      <c r="B15" s="4"/>
      <c r="C15" s="4"/>
      <c r="D15" s="4"/>
      <c r="E15" s="4"/>
      <c r="F15" s="6"/>
      <c r="G15" s="4"/>
      <c r="H15" s="4"/>
    </row>
    <row r="16" spans="1:8">
      <c r="A16" s="4"/>
      <c r="B16" s="4"/>
      <c r="C16" s="4"/>
      <c r="D16" s="4"/>
      <c r="E16" s="4"/>
      <c r="F16" s="6"/>
      <c r="G16" s="4"/>
      <c r="H16" s="4"/>
    </row>
    <row r="17" spans="1:8">
      <c r="A17" s="4"/>
      <c r="B17" s="4"/>
      <c r="C17" s="4"/>
      <c r="D17" s="4"/>
      <c r="E17" s="4"/>
      <c r="F17" s="6"/>
      <c r="G17" s="4"/>
      <c r="H17" s="4"/>
    </row>
    <row r="18" spans="1:8">
      <c r="A18" s="4"/>
      <c r="B18" s="4"/>
      <c r="C18" s="4"/>
      <c r="D18" s="4"/>
      <c r="E18" s="4"/>
      <c r="F18" s="6"/>
      <c r="G18" s="4"/>
      <c r="H18" s="4"/>
    </row>
    <row r="19" spans="1:8">
      <c r="A19" s="4"/>
      <c r="B19" s="4"/>
      <c r="C19" s="4"/>
      <c r="D19" s="4"/>
      <c r="E19" s="4"/>
      <c r="F19" s="6"/>
      <c r="G19" s="4"/>
      <c r="H19" s="4"/>
    </row>
    <row r="20" spans="1:8">
      <c r="A20" s="4"/>
      <c r="B20" s="4"/>
      <c r="C20" s="4"/>
      <c r="D20" s="4"/>
      <c r="E20" s="4"/>
      <c r="F20" s="6"/>
      <c r="G20" s="4"/>
      <c r="H20" s="4"/>
    </row>
    <row r="21" spans="1:8">
      <c r="A21" s="4"/>
      <c r="B21" s="4"/>
      <c r="C21" s="4"/>
      <c r="D21" s="4"/>
      <c r="E21" s="4"/>
      <c r="F21" s="6"/>
      <c r="G21" s="4"/>
      <c r="H21" s="4"/>
    </row>
    <row r="22" spans="1:8">
      <c r="A22" s="4"/>
      <c r="B22" s="4"/>
      <c r="C22" s="4"/>
      <c r="D22" s="4"/>
      <c r="E22" s="4"/>
      <c r="F22" s="6"/>
      <c r="G22" s="4"/>
      <c r="H22" s="4"/>
    </row>
    <row r="23" spans="1:8">
      <c r="A23" s="4"/>
      <c r="B23" s="4"/>
      <c r="C23" s="4"/>
      <c r="D23" s="4"/>
      <c r="E23" s="4"/>
      <c r="F23" s="6"/>
      <c r="G23" s="4"/>
      <c r="H23" s="4"/>
    </row>
    <row r="24" spans="1:8">
      <c r="A24" s="4"/>
      <c r="B24" s="4"/>
      <c r="C24" s="4"/>
      <c r="D24" s="4"/>
      <c r="E24" s="4"/>
      <c r="F24" s="6"/>
      <c r="G24" s="4"/>
      <c r="H24" s="4"/>
    </row>
    <row r="25" spans="1:8">
      <c r="A25" s="4"/>
      <c r="B25" s="4"/>
      <c r="C25" s="4"/>
      <c r="D25" s="4"/>
      <c r="E25" s="4"/>
      <c r="F25" s="6"/>
      <c r="G25" s="4"/>
      <c r="H25" s="4"/>
    </row>
    <row r="26" spans="1:8">
      <c r="A26" s="4"/>
      <c r="B26" s="4"/>
      <c r="C26" s="4"/>
      <c r="D26" s="4"/>
      <c r="E26" s="4"/>
      <c r="F26" s="6"/>
      <c r="G26" s="4"/>
      <c r="H26" s="4"/>
    </row>
    <row r="27" spans="1:8">
      <c r="A27" s="4"/>
      <c r="B27" s="4"/>
      <c r="C27" s="4"/>
      <c r="D27" s="4"/>
      <c r="E27" s="4"/>
      <c r="F27" s="6"/>
      <c r="G27" s="4"/>
      <c r="H27" s="4"/>
    </row>
    <row r="28" spans="1:8">
      <c r="A28" s="4"/>
      <c r="B28" s="4"/>
      <c r="C28" s="4"/>
      <c r="D28" s="4"/>
      <c r="E28" s="4"/>
      <c r="F28" s="6"/>
      <c r="G28" s="4"/>
      <c r="H28" s="4"/>
    </row>
    <row r="29" spans="1:8">
      <c r="A29" s="4"/>
      <c r="B29" s="4"/>
      <c r="C29" s="4"/>
      <c r="D29" s="4"/>
      <c r="E29" s="4"/>
      <c r="F29" s="6"/>
      <c r="G29" s="4"/>
      <c r="H29" s="4"/>
    </row>
    <row r="30" spans="1:8">
      <c r="A30" s="4"/>
      <c r="B30" s="4"/>
      <c r="C30" s="4"/>
      <c r="D30" s="4"/>
      <c r="E30" s="4"/>
      <c r="F30" s="6"/>
      <c r="G30" s="4"/>
      <c r="H30" s="4"/>
    </row>
    <row r="31" spans="1:8">
      <c r="A31" s="4"/>
      <c r="B31" s="4"/>
      <c r="C31" s="4"/>
      <c r="D31" s="4"/>
      <c r="E31" s="4"/>
      <c r="F31" s="6"/>
      <c r="G31" s="4"/>
      <c r="H31" s="4"/>
    </row>
    <row r="32" spans="1:8">
      <c r="A32" s="4"/>
      <c r="B32" s="4"/>
      <c r="C32" s="4"/>
      <c r="D32" s="4"/>
      <c r="E32" s="4"/>
      <c r="F32" s="6"/>
      <c r="G32" s="4"/>
      <c r="H32" s="4"/>
    </row>
    <row r="33" spans="1:8">
      <c r="A33" s="4"/>
      <c r="B33" s="4"/>
      <c r="C33" s="4"/>
      <c r="D33" s="4"/>
      <c r="E33" s="4"/>
      <c r="F33" s="6"/>
      <c r="G33" s="4"/>
      <c r="H33" s="4"/>
    </row>
    <row r="34" spans="1:8">
      <c r="A34" s="4"/>
      <c r="B34" s="4"/>
      <c r="C34" s="4"/>
      <c r="D34" s="4"/>
      <c r="E34" s="4"/>
      <c r="F34" s="6"/>
      <c r="G34" s="4"/>
      <c r="H34" s="4"/>
    </row>
    <row r="35" spans="1:8">
      <c r="A35" s="4"/>
      <c r="B35" s="4"/>
      <c r="C35" s="4"/>
      <c r="D35" s="4"/>
      <c r="E35" s="4"/>
      <c r="F35" s="6"/>
      <c r="G35" s="4"/>
      <c r="H35" s="4"/>
    </row>
  </sheetData>
  <mergeCells count="6">
    <mergeCell ref="A1:H1"/>
    <mergeCell ref="A2:B2"/>
    <mergeCell ref="A3:B3"/>
    <mergeCell ref="A4:B4"/>
    <mergeCell ref="D2:H2"/>
    <mergeCell ref="D3:H4"/>
  </mergeCells>
  <phoneticPr fontId="2" type="noConversion"/>
  <pageMargins left="0.7" right="0.7" top="0.75" bottom="0.75" header="0.3" footer="0.3"/>
  <pageSetup paperSize="9" scale="62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DF9C6-9AF5-4D5D-B481-9D046BCFBBDC}">
  <dimension ref="A1:H35"/>
  <sheetViews>
    <sheetView tabSelected="1" view="pageBreakPreview" zoomScale="60" zoomScaleNormal="100" workbookViewId="0">
      <selection activeCell="G11" sqref="G11"/>
    </sheetView>
  </sheetViews>
  <sheetFormatPr defaultColWidth="9" defaultRowHeight="16.5"/>
  <cols>
    <col min="1" max="1" width="6.125" style="1" customWidth="1"/>
    <col min="2" max="2" width="7.625" style="1" customWidth="1"/>
    <col min="3" max="8" width="17.75" style="1" customWidth="1"/>
    <col min="9" max="16384" width="9" style="1"/>
  </cols>
  <sheetData>
    <row r="1" spans="1:8" s="2" customFormat="1" ht="31.5">
      <c r="A1" s="61" t="s">
        <v>77</v>
      </c>
      <c r="B1" s="61"/>
      <c r="C1" s="61"/>
      <c r="D1" s="61"/>
      <c r="E1" s="61"/>
      <c r="F1" s="61"/>
      <c r="G1" s="61"/>
      <c r="H1" s="61"/>
    </row>
    <row r="2" spans="1:8" s="2" customFormat="1">
      <c r="A2" s="62" t="s">
        <v>21</v>
      </c>
      <c r="B2" s="63"/>
      <c r="C2" s="9"/>
      <c r="D2" s="64" t="s">
        <v>22</v>
      </c>
      <c r="E2" s="64"/>
      <c r="F2" s="64"/>
      <c r="G2" s="64"/>
      <c r="H2" s="64"/>
    </row>
    <row r="3" spans="1:8" s="2" customFormat="1">
      <c r="A3" s="62" t="s">
        <v>20</v>
      </c>
      <c r="B3" s="63"/>
      <c r="C3" s="9"/>
      <c r="D3" s="65"/>
      <c r="E3" s="65"/>
      <c r="F3" s="65"/>
      <c r="G3" s="65"/>
      <c r="H3" s="65"/>
    </row>
    <row r="4" spans="1:8" s="2" customFormat="1">
      <c r="A4" s="62" t="s">
        <v>19</v>
      </c>
      <c r="B4" s="63"/>
      <c r="C4" s="9"/>
      <c r="D4" s="65"/>
      <c r="E4" s="65"/>
      <c r="F4" s="65"/>
      <c r="G4" s="65"/>
      <c r="H4" s="65"/>
    </row>
    <row r="5" spans="1:8">
      <c r="A5" s="8" t="s">
        <v>8</v>
      </c>
      <c r="B5" s="8" t="s">
        <v>9</v>
      </c>
      <c r="C5" s="5" t="s">
        <v>0</v>
      </c>
      <c r="D5" s="5" t="s">
        <v>1</v>
      </c>
      <c r="E5" s="5" t="s">
        <v>2</v>
      </c>
      <c r="F5" s="5" t="s">
        <v>10</v>
      </c>
      <c r="G5" s="5" t="s">
        <v>3</v>
      </c>
      <c r="H5" s="5" t="s">
        <v>11</v>
      </c>
    </row>
    <row r="6" spans="1:8">
      <c r="A6" s="4">
        <v>1</v>
      </c>
      <c r="B6" s="4"/>
      <c r="C6" s="4"/>
      <c r="D6" s="4"/>
      <c r="E6" s="4"/>
      <c r="F6" s="4" t="str">
        <f>IFERROR(SUBSTITUTE(E6,"A","")/SUBSTITUTE(D6,"A","")*100, "")</f>
        <v/>
      </c>
      <c r="G6" s="4" t="s">
        <v>4</v>
      </c>
      <c r="H6" s="4" t="str">
        <f>IFERROR(IF(F6 &lt;= VALUE(SUBSTITUTE(SUBSTITUTE(G6,"≤ ",""),"%","")), "Pass", "Fail"), "")</f>
        <v>Fail</v>
      </c>
    </row>
    <row r="7" spans="1:8">
      <c r="A7" s="4"/>
      <c r="B7" s="4"/>
      <c r="C7" s="4"/>
      <c r="D7" s="4"/>
      <c r="E7" s="4"/>
      <c r="F7" s="4" t="str">
        <f t="shared" ref="F7:F35" si="0">IFERROR(SUBSTITUTE(E7,"A","")/SUBSTITUTE(D7,"A","")*100, "")</f>
        <v/>
      </c>
      <c r="G7" s="4"/>
      <c r="H7" s="4" t="str">
        <f t="shared" ref="H7:H35" si="1">IFERROR(IF(F7 &lt;= VALUE(SUBSTITUTE(SUBSTITUTE(G7,"≤ ",""),"%","")), "Pass", "Fail"), "")</f>
        <v/>
      </c>
    </row>
    <row r="8" spans="1:8">
      <c r="A8" s="4"/>
      <c r="B8" s="4"/>
      <c r="C8" s="4"/>
      <c r="D8" s="4"/>
      <c r="E8" s="4"/>
      <c r="F8" s="4" t="str">
        <f t="shared" si="0"/>
        <v/>
      </c>
      <c r="G8" s="4"/>
      <c r="H8" s="4" t="str">
        <f t="shared" si="1"/>
        <v/>
      </c>
    </row>
    <row r="9" spans="1:8">
      <c r="A9" s="4"/>
      <c r="B9" s="4"/>
      <c r="C9" s="4"/>
      <c r="D9" s="4"/>
      <c r="E9" s="4"/>
      <c r="F9" s="4" t="str">
        <f t="shared" si="0"/>
        <v/>
      </c>
      <c r="G9" s="4"/>
      <c r="H9" s="4" t="str">
        <f t="shared" si="1"/>
        <v/>
      </c>
    </row>
    <row r="10" spans="1:8">
      <c r="A10" s="4"/>
      <c r="B10" s="4"/>
      <c r="C10" s="4"/>
      <c r="D10" s="4"/>
      <c r="E10" s="4"/>
      <c r="F10" s="4" t="str">
        <f t="shared" si="0"/>
        <v/>
      </c>
      <c r="G10" s="4"/>
      <c r="H10" s="4" t="str">
        <f t="shared" si="1"/>
        <v/>
      </c>
    </row>
    <row r="11" spans="1:8">
      <c r="A11" s="4"/>
      <c r="B11" s="4"/>
      <c r="C11" s="4"/>
      <c r="D11" s="4"/>
      <c r="E11" s="4"/>
      <c r="F11" s="4" t="str">
        <f t="shared" si="0"/>
        <v/>
      </c>
      <c r="G11" s="4"/>
      <c r="H11" s="4" t="str">
        <f t="shared" si="1"/>
        <v/>
      </c>
    </row>
    <row r="12" spans="1:8">
      <c r="A12" s="4"/>
      <c r="B12" s="4"/>
      <c r="C12" s="4"/>
      <c r="D12" s="4"/>
      <c r="E12" s="4"/>
      <c r="F12" s="4" t="str">
        <f t="shared" si="0"/>
        <v/>
      </c>
      <c r="G12" s="4"/>
      <c r="H12" s="4" t="str">
        <f t="shared" si="1"/>
        <v/>
      </c>
    </row>
    <row r="13" spans="1:8">
      <c r="A13" s="4"/>
      <c r="B13" s="4"/>
      <c r="C13" s="4"/>
      <c r="D13" s="4"/>
      <c r="E13" s="4"/>
      <c r="F13" s="4" t="str">
        <f t="shared" si="0"/>
        <v/>
      </c>
      <c r="G13" s="4"/>
      <c r="H13" s="4" t="str">
        <f t="shared" si="1"/>
        <v/>
      </c>
    </row>
    <row r="14" spans="1:8">
      <c r="A14" s="4"/>
      <c r="B14" s="4"/>
      <c r="C14" s="4"/>
      <c r="D14" s="4"/>
      <c r="E14" s="4"/>
      <c r="F14" s="4" t="str">
        <f t="shared" si="0"/>
        <v/>
      </c>
      <c r="G14" s="4"/>
      <c r="H14" s="4" t="str">
        <f t="shared" si="1"/>
        <v/>
      </c>
    </row>
    <row r="15" spans="1:8">
      <c r="A15" s="4"/>
      <c r="B15" s="4"/>
      <c r="C15" s="4"/>
      <c r="D15" s="4"/>
      <c r="E15" s="4"/>
      <c r="F15" s="4" t="str">
        <f t="shared" si="0"/>
        <v/>
      </c>
      <c r="G15" s="4"/>
      <c r="H15" s="4" t="str">
        <f t="shared" si="1"/>
        <v/>
      </c>
    </row>
    <row r="16" spans="1:8">
      <c r="A16" s="4"/>
      <c r="B16" s="4"/>
      <c r="C16" s="4"/>
      <c r="D16" s="4"/>
      <c r="E16" s="4"/>
      <c r="F16" s="4" t="str">
        <f t="shared" si="0"/>
        <v/>
      </c>
      <c r="G16" s="4"/>
      <c r="H16" s="4" t="str">
        <f t="shared" si="1"/>
        <v/>
      </c>
    </row>
    <row r="17" spans="1:8">
      <c r="A17" s="4"/>
      <c r="B17" s="4"/>
      <c r="C17" s="4"/>
      <c r="D17" s="4"/>
      <c r="E17" s="4"/>
      <c r="F17" s="4" t="str">
        <f t="shared" si="0"/>
        <v/>
      </c>
      <c r="G17" s="4"/>
      <c r="H17" s="4" t="str">
        <f t="shared" si="1"/>
        <v/>
      </c>
    </row>
    <row r="18" spans="1:8">
      <c r="A18" s="4"/>
      <c r="B18" s="4"/>
      <c r="C18" s="4"/>
      <c r="D18" s="4"/>
      <c r="E18" s="4"/>
      <c r="F18" s="4" t="str">
        <f t="shared" si="0"/>
        <v/>
      </c>
      <c r="G18" s="4"/>
      <c r="H18" s="4" t="str">
        <f t="shared" si="1"/>
        <v/>
      </c>
    </row>
    <row r="19" spans="1:8">
      <c r="A19" s="4"/>
      <c r="B19" s="4"/>
      <c r="C19" s="4"/>
      <c r="D19" s="4"/>
      <c r="E19" s="4"/>
      <c r="F19" s="4" t="str">
        <f t="shared" si="0"/>
        <v/>
      </c>
      <c r="G19" s="4"/>
      <c r="H19" s="4" t="str">
        <f t="shared" si="1"/>
        <v/>
      </c>
    </row>
    <row r="20" spans="1:8">
      <c r="A20" s="4"/>
      <c r="B20" s="4"/>
      <c r="C20" s="4"/>
      <c r="D20" s="4"/>
      <c r="E20" s="4"/>
      <c r="F20" s="4" t="str">
        <f t="shared" si="0"/>
        <v/>
      </c>
      <c r="G20" s="4"/>
      <c r="H20" s="4" t="str">
        <f t="shared" si="1"/>
        <v/>
      </c>
    </row>
    <row r="21" spans="1:8">
      <c r="A21" s="4"/>
      <c r="B21" s="4"/>
      <c r="C21" s="4"/>
      <c r="D21" s="4"/>
      <c r="E21" s="4"/>
      <c r="F21" s="4" t="str">
        <f t="shared" si="0"/>
        <v/>
      </c>
      <c r="G21" s="4"/>
      <c r="H21" s="4" t="str">
        <f t="shared" si="1"/>
        <v/>
      </c>
    </row>
    <row r="22" spans="1:8">
      <c r="A22" s="4"/>
      <c r="B22" s="4"/>
      <c r="C22" s="4"/>
      <c r="D22" s="4"/>
      <c r="E22" s="4"/>
      <c r="F22" s="4" t="str">
        <f t="shared" si="0"/>
        <v/>
      </c>
      <c r="G22" s="4"/>
      <c r="H22" s="4" t="str">
        <f t="shared" si="1"/>
        <v/>
      </c>
    </row>
    <row r="23" spans="1:8">
      <c r="A23" s="4"/>
      <c r="B23" s="4"/>
      <c r="C23" s="4"/>
      <c r="D23" s="4"/>
      <c r="E23" s="4"/>
      <c r="F23" s="4" t="str">
        <f t="shared" si="0"/>
        <v/>
      </c>
      <c r="G23" s="4"/>
      <c r="H23" s="4" t="str">
        <f t="shared" si="1"/>
        <v/>
      </c>
    </row>
    <row r="24" spans="1:8">
      <c r="A24" s="4"/>
      <c r="B24" s="4"/>
      <c r="C24" s="4"/>
      <c r="D24" s="4"/>
      <c r="E24" s="4"/>
      <c r="F24" s="4" t="str">
        <f t="shared" si="0"/>
        <v/>
      </c>
      <c r="G24" s="4"/>
      <c r="H24" s="4" t="str">
        <f t="shared" si="1"/>
        <v/>
      </c>
    </row>
    <row r="25" spans="1:8">
      <c r="A25" s="4"/>
      <c r="B25" s="4"/>
      <c r="C25" s="4"/>
      <c r="D25" s="4"/>
      <c r="E25" s="4"/>
      <c r="F25" s="4" t="str">
        <f t="shared" si="0"/>
        <v/>
      </c>
      <c r="G25" s="4"/>
      <c r="H25" s="4" t="str">
        <f t="shared" si="1"/>
        <v/>
      </c>
    </row>
    <row r="26" spans="1:8">
      <c r="A26" s="4"/>
      <c r="B26" s="4"/>
      <c r="C26" s="4"/>
      <c r="D26" s="4"/>
      <c r="E26" s="4"/>
      <c r="F26" s="4" t="str">
        <f t="shared" si="0"/>
        <v/>
      </c>
      <c r="G26" s="4"/>
      <c r="H26" s="4" t="str">
        <f t="shared" si="1"/>
        <v/>
      </c>
    </row>
    <row r="27" spans="1:8">
      <c r="A27" s="4"/>
      <c r="B27" s="4"/>
      <c r="C27" s="4"/>
      <c r="D27" s="4"/>
      <c r="E27" s="4"/>
      <c r="F27" s="4" t="str">
        <f t="shared" si="0"/>
        <v/>
      </c>
      <c r="G27" s="4"/>
      <c r="H27" s="4" t="str">
        <f t="shared" si="1"/>
        <v/>
      </c>
    </row>
    <row r="28" spans="1:8">
      <c r="A28" s="4"/>
      <c r="B28" s="4"/>
      <c r="C28" s="4"/>
      <c r="D28" s="4"/>
      <c r="E28" s="4"/>
      <c r="F28" s="4" t="str">
        <f t="shared" si="0"/>
        <v/>
      </c>
      <c r="G28" s="4"/>
      <c r="H28" s="4" t="str">
        <f t="shared" si="1"/>
        <v/>
      </c>
    </row>
    <row r="29" spans="1:8">
      <c r="A29" s="4"/>
      <c r="B29" s="4"/>
      <c r="C29" s="4"/>
      <c r="D29" s="4"/>
      <c r="E29" s="4"/>
      <c r="F29" s="4" t="str">
        <f t="shared" si="0"/>
        <v/>
      </c>
      <c r="G29" s="4"/>
      <c r="H29" s="4" t="str">
        <f t="shared" si="1"/>
        <v/>
      </c>
    </row>
    <row r="30" spans="1:8">
      <c r="A30" s="4"/>
      <c r="B30" s="4"/>
      <c r="C30" s="4"/>
      <c r="D30" s="4"/>
      <c r="E30" s="4"/>
      <c r="F30" s="4" t="str">
        <f t="shared" si="0"/>
        <v/>
      </c>
      <c r="G30" s="4"/>
      <c r="H30" s="4" t="str">
        <f t="shared" si="1"/>
        <v/>
      </c>
    </row>
    <row r="31" spans="1:8">
      <c r="A31" s="4"/>
      <c r="B31" s="4"/>
      <c r="C31" s="4"/>
      <c r="D31" s="4"/>
      <c r="E31" s="4"/>
      <c r="F31" s="4" t="str">
        <f t="shared" si="0"/>
        <v/>
      </c>
      <c r="G31" s="4"/>
      <c r="H31" s="4" t="str">
        <f t="shared" si="1"/>
        <v/>
      </c>
    </row>
    <row r="32" spans="1:8">
      <c r="A32" s="4"/>
      <c r="B32" s="4"/>
      <c r="C32" s="4"/>
      <c r="D32" s="4"/>
      <c r="E32" s="4"/>
      <c r="F32" s="4" t="str">
        <f t="shared" si="0"/>
        <v/>
      </c>
      <c r="G32" s="4"/>
      <c r="H32" s="4" t="str">
        <f t="shared" si="1"/>
        <v/>
      </c>
    </row>
    <row r="33" spans="1:8">
      <c r="A33" s="4"/>
      <c r="B33" s="4"/>
      <c r="C33" s="4"/>
      <c r="D33" s="4"/>
      <c r="E33" s="4"/>
      <c r="F33" s="4" t="str">
        <f t="shared" si="0"/>
        <v/>
      </c>
      <c r="G33" s="4"/>
      <c r="H33" s="4" t="str">
        <f t="shared" si="1"/>
        <v/>
      </c>
    </row>
    <row r="34" spans="1:8">
      <c r="A34" s="4"/>
      <c r="B34" s="4"/>
      <c r="C34" s="4"/>
      <c r="D34" s="4"/>
      <c r="E34" s="4"/>
      <c r="F34" s="4" t="str">
        <f t="shared" si="0"/>
        <v/>
      </c>
      <c r="G34" s="4"/>
      <c r="H34" s="4" t="str">
        <f t="shared" si="1"/>
        <v/>
      </c>
    </row>
    <row r="35" spans="1:8">
      <c r="A35" s="4"/>
      <c r="B35" s="4"/>
      <c r="C35" s="4"/>
      <c r="D35" s="4"/>
      <c r="E35" s="4"/>
      <c r="F35" s="4" t="str">
        <f t="shared" si="0"/>
        <v/>
      </c>
      <c r="G35" s="4"/>
      <c r="H35" s="4" t="str">
        <f t="shared" si="1"/>
        <v/>
      </c>
    </row>
  </sheetData>
  <mergeCells count="6">
    <mergeCell ref="A1:H1"/>
    <mergeCell ref="A2:B2"/>
    <mergeCell ref="D2:H2"/>
    <mergeCell ref="A3:B3"/>
    <mergeCell ref="D3:H4"/>
    <mergeCell ref="A4:B4"/>
  </mergeCells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C6A0-F4FD-46D2-ADE5-25A4313B2C43}">
  <dimension ref="A1:H65"/>
  <sheetViews>
    <sheetView view="pageBreakPreview" zoomScaleNormal="100" zoomScaleSheetLayoutView="100" workbookViewId="0">
      <selection activeCell="F9" sqref="F9"/>
    </sheetView>
  </sheetViews>
  <sheetFormatPr defaultColWidth="9" defaultRowHeight="16.5"/>
  <cols>
    <col min="1" max="1" width="6.125" style="1" customWidth="1"/>
    <col min="2" max="2" width="7.625" style="1" customWidth="1"/>
    <col min="3" max="8" width="18" style="1" customWidth="1"/>
    <col min="9" max="16384" width="9" style="1"/>
  </cols>
  <sheetData>
    <row r="1" spans="1:8" s="2" customFormat="1" ht="31.5">
      <c r="A1" s="61" t="s">
        <v>78</v>
      </c>
      <c r="B1" s="61"/>
      <c r="C1" s="61"/>
      <c r="D1" s="61"/>
      <c r="E1" s="61"/>
      <c r="F1" s="61"/>
      <c r="G1" s="61"/>
      <c r="H1" s="61"/>
    </row>
    <row r="2" spans="1:8" s="2" customFormat="1">
      <c r="A2" s="62" t="s">
        <v>21</v>
      </c>
      <c r="B2" s="63"/>
      <c r="C2" s="9"/>
      <c r="D2" s="64" t="s">
        <v>22</v>
      </c>
      <c r="E2" s="64"/>
      <c r="F2" s="64"/>
      <c r="G2" s="64"/>
      <c r="H2" s="64"/>
    </row>
    <row r="3" spans="1:8" s="2" customFormat="1">
      <c r="A3" s="62" t="s">
        <v>20</v>
      </c>
      <c r="B3" s="63"/>
      <c r="C3" s="9"/>
      <c r="D3" s="65"/>
      <c r="E3" s="65"/>
      <c r="F3" s="65"/>
      <c r="G3" s="65"/>
      <c r="H3" s="65"/>
    </row>
    <row r="4" spans="1:8" s="2" customFormat="1">
      <c r="A4" s="62" t="s">
        <v>19</v>
      </c>
      <c r="B4" s="63"/>
      <c r="C4" s="9"/>
      <c r="D4" s="65"/>
      <c r="E4" s="65"/>
      <c r="F4" s="65"/>
      <c r="G4" s="65"/>
      <c r="H4" s="65"/>
    </row>
    <row r="5" spans="1:8">
      <c r="A5" s="8" t="s">
        <v>8</v>
      </c>
      <c r="B5" s="8" t="s">
        <v>9</v>
      </c>
      <c r="C5" s="5" t="s">
        <v>0</v>
      </c>
      <c r="D5" s="5" t="s">
        <v>1</v>
      </c>
      <c r="E5" s="5" t="s">
        <v>2</v>
      </c>
      <c r="F5" s="5" t="s">
        <v>10</v>
      </c>
      <c r="G5" s="5" t="s">
        <v>3</v>
      </c>
      <c r="H5" s="5" t="s">
        <v>11</v>
      </c>
    </row>
    <row r="6" spans="1:8">
      <c r="A6" s="66">
        <v>1</v>
      </c>
      <c r="B6" s="66"/>
      <c r="C6" s="68"/>
      <c r="D6" s="4"/>
      <c r="E6" s="4"/>
      <c r="F6" s="4" t="str">
        <f>IFERROR(SUBSTITUTE(E6,"VAC","")/SUBSTITUTE(D6,"VAC","")*100, "")</f>
        <v/>
      </c>
      <c r="G6" s="4" t="s">
        <v>4</v>
      </c>
      <c r="H6" s="4" t="str">
        <f>IFERROR(IF(F6 &lt;= VALUE(SUBSTITUTE(SUBSTITUTE(G6,"≤ ",""),"%","")), "Pass", "Fail"), "")</f>
        <v>Fail</v>
      </c>
    </row>
    <row r="7" spans="1:8">
      <c r="A7" s="67"/>
      <c r="B7" s="67"/>
      <c r="C7" s="68"/>
      <c r="D7" s="4"/>
      <c r="E7" s="4"/>
      <c r="F7" s="4" t="str">
        <f>IFERROR(SUBSTITUTE(E7,"A","")/SUBSTITUTE(D7,"A","")*100, "")</f>
        <v/>
      </c>
      <c r="G7" s="4" t="s">
        <v>4</v>
      </c>
      <c r="H7" s="4" t="str">
        <f>IFERROR(IF(F7 &lt;= VALUE(SUBSTITUTE(SUBSTITUTE(G7,"≤ ",""),"%","")), "Pass", "Fail"), "")</f>
        <v>Fail</v>
      </c>
    </row>
    <row r="8" spans="1:8">
      <c r="A8" s="66"/>
      <c r="B8" s="66"/>
      <c r="C8" s="68"/>
      <c r="D8" s="4"/>
      <c r="E8" s="4"/>
      <c r="F8" s="4" t="str">
        <f t="shared" ref="F8" si="0">IFERROR(SUBSTITUTE(E8,"VAC","")/SUBSTITUTE(D8,"VAC","")*100, "")</f>
        <v/>
      </c>
      <c r="G8" s="4"/>
      <c r="H8" s="4" t="str">
        <f t="shared" ref="H8:H65" si="1">IFERROR(IF(F8 &lt;= VALUE(SUBSTITUTE(SUBSTITUTE(G8,"≤ ",""),"%","")), "Pass", "Fail"), "")</f>
        <v/>
      </c>
    </row>
    <row r="9" spans="1:8">
      <c r="A9" s="67"/>
      <c r="B9" s="67"/>
      <c r="C9" s="68"/>
      <c r="D9" s="4"/>
      <c r="E9" s="4"/>
      <c r="F9" s="4" t="str">
        <f t="shared" ref="F9" si="2">IFERROR(SUBSTITUTE(E9,"A","")/SUBSTITUTE(D9,"A","")*100, "")</f>
        <v/>
      </c>
      <c r="G9" s="4"/>
      <c r="H9" s="4" t="str">
        <f t="shared" si="1"/>
        <v/>
      </c>
    </row>
    <row r="10" spans="1:8">
      <c r="A10" s="66"/>
      <c r="B10" s="66"/>
      <c r="C10" s="68"/>
      <c r="D10" s="4"/>
      <c r="E10" s="4"/>
      <c r="F10" s="4" t="str">
        <f t="shared" ref="F10" si="3">IFERROR(SUBSTITUTE(E10,"VAC","")/SUBSTITUTE(D10,"VAC","")*100, "")</f>
        <v/>
      </c>
      <c r="G10" s="4"/>
      <c r="H10" s="4" t="str">
        <f t="shared" si="1"/>
        <v/>
      </c>
    </row>
    <row r="11" spans="1:8">
      <c r="A11" s="67"/>
      <c r="B11" s="67"/>
      <c r="C11" s="68"/>
      <c r="D11" s="4"/>
      <c r="E11" s="4"/>
      <c r="F11" s="4" t="str">
        <f t="shared" ref="F11" si="4">IFERROR(SUBSTITUTE(E11,"A","")/SUBSTITUTE(D11,"A","")*100, "")</f>
        <v/>
      </c>
      <c r="G11" s="4"/>
      <c r="H11" s="4" t="str">
        <f t="shared" si="1"/>
        <v/>
      </c>
    </row>
    <row r="12" spans="1:8">
      <c r="A12" s="66"/>
      <c r="B12" s="66"/>
      <c r="C12" s="68"/>
      <c r="D12" s="4"/>
      <c r="E12" s="4"/>
      <c r="F12" s="4" t="str">
        <f t="shared" ref="F12" si="5">IFERROR(SUBSTITUTE(E12,"VAC","")/SUBSTITUTE(D12,"VAC","")*100, "")</f>
        <v/>
      </c>
      <c r="G12" s="4"/>
      <c r="H12" s="4" t="str">
        <f t="shared" si="1"/>
        <v/>
      </c>
    </row>
    <row r="13" spans="1:8">
      <c r="A13" s="67"/>
      <c r="B13" s="67"/>
      <c r="C13" s="68"/>
      <c r="D13" s="4"/>
      <c r="E13" s="4"/>
      <c r="F13" s="4" t="str">
        <f t="shared" ref="F13" si="6">IFERROR(SUBSTITUTE(E13,"A","")/SUBSTITUTE(D13,"A","")*100, "")</f>
        <v/>
      </c>
      <c r="G13" s="4"/>
      <c r="H13" s="4" t="str">
        <f t="shared" si="1"/>
        <v/>
      </c>
    </row>
    <row r="14" spans="1:8">
      <c r="A14" s="66"/>
      <c r="B14" s="66"/>
      <c r="C14" s="68"/>
      <c r="D14" s="4"/>
      <c r="E14" s="4"/>
      <c r="F14" s="4" t="str">
        <f t="shared" ref="F14" si="7">IFERROR(SUBSTITUTE(E14,"VAC","")/SUBSTITUTE(D14,"VAC","")*100, "")</f>
        <v/>
      </c>
      <c r="G14" s="4"/>
      <c r="H14" s="4" t="str">
        <f t="shared" si="1"/>
        <v/>
      </c>
    </row>
    <row r="15" spans="1:8">
      <c r="A15" s="67"/>
      <c r="B15" s="67"/>
      <c r="C15" s="68"/>
      <c r="D15" s="4"/>
      <c r="E15" s="4"/>
      <c r="F15" s="4" t="str">
        <f t="shared" ref="F15" si="8">IFERROR(SUBSTITUTE(E15,"A","")/SUBSTITUTE(D15,"A","")*100, "")</f>
        <v/>
      </c>
      <c r="G15" s="4"/>
      <c r="H15" s="4" t="str">
        <f t="shared" si="1"/>
        <v/>
      </c>
    </row>
    <row r="16" spans="1:8">
      <c r="A16" s="66"/>
      <c r="B16" s="66"/>
      <c r="C16" s="68"/>
      <c r="D16" s="4"/>
      <c r="E16" s="4"/>
      <c r="F16" s="4" t="str">
        <f t="shared" ref="F16" si="9">IFERROR(SUBSTITUTE(E16,"VAC","")/SUBSTITUTE(D16,"VAC","")*100, "")</f>
        <v/>
      </c>
      <c r="G16" s="4"/>
      <c r="H16" s="4" t="str">
        <f t="shared" si="1"/>
        <v/>
      </c>
    </row>
    <row r="17" spans="1:8">
      <c r="A17" s="67"/>
      <c r="B17" s="67"/>
      <c r="C17" s="68"/>
      <c r="D17" s="4"/>
      <c r="E17" s="4"/>
      <c r="F17" s="4" t="str">
        <f t="shared" ref="F17" si="10">IFERROR(SUBSTITUTE(E17,"A","")/SUBSTITUTE(D17,"A","")*100, "")</f>
        <v/>
      </c>
      <c r="G17" s="4"/>
      <c r="H17" s="4" t="str">
        <f t="shared" si="1"/>
        <v/>
      </c>
    </row>
    <row r="18" spans="1:8">
      <c r="A18" s="66"/>
      <c r="B18" s="66"/>
      <c r="C18" s="68"/>
      <c r="D18" s="4"/>
      <c r="E18" s="4"/>
      <c r="F18" s="4" t="str">
        <f t="shared" ref="F18" si="11">IFERROR(SUBSTITUTE(E18,"VAC","")/SUBSTITUTE(D18,"VAC","")*100, "")</f>
        <v/>
      </c>
      <c r="G18" s="4"/>
      <c r="H18" s="4" t="str">
        <f t="shared" si="1"/>
        <v/>
      </c>
    </row>
    <row r="19" spans="1:8">
      <c r="A19" s="67"/>
      <c r="B19" s="67"/>
      <c r="C19" s="68"/>
      <c r="D19" s="4"/>
      <c r="E19" s="4"/>
      <c r="F19" s="4" t="str">
        <f t="shared" ref="F19" si="12">IFERROR(SUBSTITUTE(E19,"A","")/SUBSTITUTE(D19,"A","")*100, "")</f>
        <v/>
      </c>
      <c r="G19" s="4"/>
      <c r="H19" s="4" t="str">
        <f t="shared" si="1"/>
        <v/>
      </c>
    </row>
    <row r="20" spans="1:8">
      <c r="A20" s="66"/>
      <c r="B20" s="66"/>
      <c r="C20" s="68"/>
      <c r="D20" s="4"/>
      <c r="E20" s="4"/>
      <c r="F20" s="4" t="str">
        <f t="shared" ref="F20" si="13">IFERROR(SUBSTITUTE(E20,"VAC","")/SUBSTITUTE(D20,"VAC","")*100, "")</f>
        <v/>
      </c>
      <c r="G20" s="4"/>
      <c r="H20" s="4" t="str">
        <f t="shared" si="1"/>
        <v/>
      </c>
    </row>
    <row r="21" spans="1:8">
      <c r="A21" s="67"/>
      <c r="B21" s="67"/>
      <c r="C21" s="68"/>
      <c r="D21" s="4"/>
      <c r="E21" s="4"/>
      <c r="F21" s="4" t="str">
        <f t="shared" ref="F21" si="14">IFERROR(SUBSTITUTE(E21,"A","")/SUBSTITUTE(D21,"A","")*100, "")</f>
        <v/>
      </c>
      <c r="G21" s="4"/>
      <c r="H21" s="4" t="str">
        <f t="shared" si="1"/>
        <v/>
      </c>
    </row>
    <row r="22" spans="1:8">
      <c r="A22" s="66"/>
      <c r="B22" s="66"/>
      <c r="C22" s="68"/>
      <c r="D22" s="4"/>
      <c r="E22" s="4"/>
      <c r="F22" s="4" t="str">
        <f t="shared" ref="F22" si="15">IFERROR(SUBSTITUTE(E22,"VAC","")/SUBSTITUTE(D22,"VAC","")*100, "")</f>
        <v/>
      </c>
      <c r="G22" s="4"/>
      <c r="H22" s="4" t="str">
        <f t="shared" si="1"/>
        <v/>
      </c>
    </row>
    <row r="23" spans="1:8">
      <c r="A23" s="67"/>
      <c r="B23" s="67"/>
      <c r="C23" s="68"/>
      <c r="D23" s="4"/>
      <c r="E23" s="4"/>
      <c r="F23" s="4" t="str">
        <f t="shared" ref="F23" si="16">IFERROR(SUBSTITUTE(E23,"A","")/SUBSTITUTE(D23,"A","")*100, "")</f>
        <v/>
      </c>
      <c r="G23" s="4"/>
      <c r="H23" s="4" t="str">
        <f t="shared" si="1"/>
        <v/>
      </c>
    </row>
    <row r="24" spans="1:8">
      <c r="A24" s="66"/>
      <c r="B24" s="66"/>
      <c r="C24" s="68"/>
      <c r="D24" s="4"/>
      <c r="E24" s="4"/>
      <c r="F24" s="4" t="str">
        <f t="shared" ref="F24" si="17">IFERROR(SUBSTITUTE(E24,"VAC","")/SUBSTITUTE(D24,"VAC","")*100, "")</f>
        <v/>
      </c>
      <c r="G24" s="4"/>
      <c r="H24" s="4" t="str">
        <f t="shared" si="1"/>
        <v/>
      </c>
    </row>
    <row r="25" spans="1:8">
      <c r="A25" s="67"/>
      <c r="B25" s="67"/>
      <c r="C25" s="68"/>
      <c r="D25" s="4"/>
      <c r="E25" s="4"/>
      <c r="F25" s="4" t="str">
        <f t="shared" ref="F25" si="18">IFERROR(SUBSTITUTE(E25,"A","")/SUBSTITUTE(D25,"A","")*100, "")</f>
        <v/>
      </c>
      <c r="G25" s="4"/>
      <c r="H25" s="4" t="str">
        <f t="shared" si="1"/>
        <v/>
      </c>
    </row>
    <row r="26" spans="1:8">
      <c r="A26" s="66"/>
      <c r="B26" s="66"/>
      <c r="C26" s="68"/>
      <c r="D26" s="4"/>
      <c r="E26" s="4"/>
      <c r="F26" s="4" t="str">
        <f t="shared" ref="F26" si="19">IFERROR(SUBSTITUTE(E26,"VAC","")/SUBSTITUTE(D26,"VAC","")*100, "")</f>
        <v/>
      </c>
      <c r="G26" s="4"/>
      <c r="H26" s="4" t="str">
        <f t="shared" si="1"/>
        <v/>
      </c>
    </row>
    <row r="27" spans="1:8">
      <c r="A27" s="67"/>
      <c r="B27" s="67"/>
      <c r="C27" s="68"/>
      <c r="D27" s="4"/>
      <c r="E27" s="4"/>
      <c r="F27" s="4" t="str">
        <f t="shared" ref="F27" si="20">IFERROR(SUBSTITUTE(E27,"A","")/SUBSTITUTE(D27,"A","")*100, "")</f>
        <v/>
      </c>
      <c r="G27" s="4"/>
      <c r="H27" s="4" t="str">
        <f t="shared" si="1"/>
        <v/>
      </c>
    </row>
    <row r="28" spans="1:8">
      <c r="A28" s="66"/>
      <c r="B28" s="66"/>
      <c r="C28" s="68"/>
      <c r="D28" s="4"/>
      <c r="E28" s="4"/>
      <c r="F28" s="4" t="str">
        <f t="shared" ref="F28" si="21">IFERROR(SUBSTITUTE(E28,"VAC","")/SUBSTITUTE(D28,"VAC","")*100, "")</f>
        <v/>
      </c>
      <c r="G28" s="4"/>
      <c r="H28" s="4" t="str">
        <f t="shared" si="1"/>
        <v/>
      </c>
    </row>
    <row r="29" spans="1:8">
      <c r="A29" s="67"/>
      <c r="B29" s="67"/>
      <c r="C29" s="68"/>
      <c r="D29" s="4"/>
      <c r="E29" s="4"/>
      <c r="F29" s="4" t="str">
        <f t="shared" ref="F29" si="22">IFERROR(SUBSTITUTE(E29,"A","")/SUBSTITUTE(D29,"A","")*100, "")</f>
        <v/>
      </c>
      <c r="G29" s="4"/>
      <c r="H29" s="4" t="str">
        <f t="shared" si="1"/>
        <v/>
      </c>
    </row>
    <row r="30" spans="1:8">
      <c r="A30" s="66"/>
      <c r="B30" s="66"/>
      <c r="C30" s="68"/>
      <c r="D30" s="4"/>
      <c r="E30" s="4"/>
      <c r="F30" s="4" t="str">
        <f t="shared" ref="F30" si="23">IFERROR(SUBSTITUTE(E30,"VAC","")/SUBSTITUTE(D30,"VAC","")*100, "")</f>
        <v/>
      </c>
      <c r="G30" s="4"/>
      <c r="H30" s="4" t="str">
        <f t="shared" si="1"/>
        <v/>
      </c>
    </row>
    <row r="31" spans="1:8">
      <c r="A31" s="67"/>
      <c r="B31" s="67"/>
      <c r="C31" s="68"/>
      <c r="D31" s="4"/>
      <c r="E31" s="4"/>
      <c r="F31" s="4" t="str">
        <f t="shared" ref="F31" si="24">IFERROR(SUBSTITUTE(E31,"A","")/SUBSTITUTE(D31,"A","")*100, "")</f>
        <v/>
      </c>
      <c r="G31" s="4"/>
      <c r="H31" s="4" t="str">
        <f t="shared" si="1"/>
        <v/>
      </c>
    </row>
    <row r="32" spans="1:8">
      <c r="A32" s="66"/>
      <c r="B32" s="66"/>
      <c r="C32" s="68"/>
      <c r="D32" s="4"/>
      <c r="E32" s="4"/>
      <c r="F32" s="4" t="str">
        <f t="shared" ref="F32" si="25">IFERROR(SUBSTITUTE(E32,"VAC","")/SUBSTITUTE(D32,"VAC","")*100, "")</f>
        <v/>
      </c>
      <c r="G32" s="4"/>
      <c r="H32" s="4" t="str">
        <f t="shared" si="1"/>
        <v/>
      </c>
    </row>
    <row r="33" spans="1:8">
      <c r="A33" s="67"/>
      <c r="B33" s="67"/>
      <c r="C33" s="68"/>
      <c r="D33" s="4"/>
      <c r="E33" s="4"/>
      <c r="F33" s="4" t="str">
        <f t="shared" ref="F33" si="26">IFERROR(SUBSTITUTE(E33,"A","")/SUBSTITUTE(D33,"A","")*100, "")</f>
        <v/>
      </c>
      <c r="G33" s="4"/>
      <c r="H33" s="4" t="str">
        <f t="shared" si="1"/>
        <v/>
      </c>
    </row>
    <row r="34" spans="1:8">
      <c r="A34" s="66"/>
      <c r="B34" s="66"/>
      <c r="C34" s="68"/>
      <c r="D34" s="4"/>
      <c r="E34" s="4"/>
      <c r="F34" s="4" t="str">
        <f t="shared" ref="F34" si="27">IFERROR(SUBSTITUTE(E34,"VAC","")/SUBSTITUTE(D34,"VAC","")*100, "")</f>
        <v/>
      </c>
      <c r="G34" s="4"/>
      <c r="H34" s="4" t="str">
        <f t="shared" si="1"/>
        <v/>
      </c>
    </row>
    <row r="35" spans="1:8">
      <c r="A35" s="67"/>
      <c r="B35" s="67"/>
      <c r="C35" s="68"/>
      <c r="D35" s="4"/>
      <c r="E35" s="4"/>
      <c r="F35" s="4" t="str">
        <f t="shared" ref="F35" si="28">IFERROR(SUBSTITUTE(E35,"A","")/SUBSTITUTE(D35,"A","")*100, "")</f>
        <v/>
      </c>
      <c r="G35" s="4"/>
      <c r="H35" s="4" t="str">
        <f t="shared" si="1"/>
        <v/>
      </c>
    </row>
    <row r="36" spans="1:8">
      <c r="A36" s="66"/>
      <c r="B36" s="66"/>
      <c r="C36" s="68"/>
      <c r="D36" s="4"/>
      <c r="E36" s="4"/>
      <c r="F36" s="4" t="str">
        <f t="shared" ref="F36" si="29">IFERROR(SUBSTITUTE(E36,"VAC","")/SUBSTITUTE(D36,"VAC","")*100, "")</f>
        <v/>
      </c>
      <c r="G36" s="4"/>
      <c r="H36" s="4" t="str">
        <f t="shared" si="1"/>
        <v/>
      </c>
    </row>
    <row r="37" spans="1:8">
      <c r="A37" s="67"/>
      <c r="B37" s="67"/>
      <c r="C37" s="68"/>
      <c r="D37" s="4"/>
      <c r="E37" s="4"/>
      <c r="F37" s="4" t="str">
        <f t="shared" ref="F37" si="30">IFERROR(SUBSTITUTE(E37,"A","")/SUBSTITUTE(D37,"A","")*100, "")</f>
        <v/>
      </c>
      <c r="G37" s="4"/>
      <c r="H37" s="4" t="str">
        <f t="shared" si="1"/>
        <v/>
      </c>
    </row>
    <row r="38" spans="1:8">
      <c r="A38" s="66"/>
      <c r="B38" s="66"/>
      <c r="C38" s="68"/>
      <c r="D38" s="4"/>
      <c r="E38" s="4"/>
      <c r="F38" s="4" t="str">
        <f t="shared" ref="F38" si="31">IFERROR(SUBSTITUTE(E38,"VAC","")/SUBSTITUTE(D38,"VAC","")*100, "")</f>
        <v/>
      </c>
      <c r="G38" s="4"/>
      <c r="H38" s="4" t="str">
        <f t="shared" si="1"/>
        <v/>
      </c>
    </row>
    <row r="39" spans="1:8">
      <c r="A39" s="67"/>
      <c r="B39" s="67"/>
      <c r="C39" s="68"/>
      <c r="D39" s="4"/>
      <c r="E39" s="4"/>
      <c r="F39" s="4" t="str">
        <f t="shared" ref="F39" si="32">IFERROR(SUBSTITUTE(E39,"A","")/SUBSTITUTE(D39,"A","")*100, "")</f>
        <v/>
      </c>
      <c r="G39" s="4"/>
      <c r="H39" s="4" t="str">
        <f t="shared" si="1"/>
        <v/>
      </c>
    </row>
    <row r="40" spans="1:8">
      <c r="A40" s="66"/>
      <c r="B40" s="66"/>
      <c r="C40" s="68"/>
      <c r="D40" s="4"/>
      <c r="E40" s="4"/>
      <c r="F40" s="4" t="str">
        <f t="shared" ref="F40" si="33">IFERROR(SUBSTITUTE(E40,"VAC","")/SUBSTITUTE(D40,"VAC","")*100, "")</f>
        <v/>
      </c>
      <c r="G40" s="4"/>
      <c r="H40" s="4" t="str">
        <f t="shared" si="1"/>
        <v/>
      </c>
    </row>
    <row r="41" spans="1:8">
      <c r="A41" s="67"/>
      <c r="B41" s="67"/>
      <c r="C41" s="68"/>
      <c r="D41" s="4"/>
      <c r="E41" s="4"/>
      <c r="F41" s="4" t="str">
        <f t="shared" ref="F41" si="34">IFERROR(SUBSTITUTE(E41,"A","")/SUBSTITUTE(D41,"A","")*100, "")</f>
        <v/>
      </c>
      <c r="G41" s="4"/>
      <c r="H41" s="4" t="str">
        <f t="shared" si="1"/>
        <v/>
      </c>
    </row>
    <row r="42" spans="1:8">
      <c r="A42" s="66"/>
      <c r="B42" s="66"/>
      <c r="C42" s="68"/>
      <c r="D42" s="4"/>
      <c r="E42" s="4"/>
      <c r="F42" s="4" t="str">
        <f t="shared" ref="F42" si="35">IFERROR(SUBSTITUTE(E42,"VAC","")/SUBSTITUTE(D42,"VAC","")*100, "")</f>
        <v/>
      </c>
      <c r="G42" s="4"/>
      <c r="H42" s="4" t="str">
        <f t="shared" si="1"/>
        <v/>
      </c>
    </row>
    <row r="43" spans="1:8">
      <c r="A43" s="67"/>
      <c r="B43" s="67"/>
      <c r="C43" s="68"/>
      <c r="D43" s="4"/>
      <c r="E43" s="4"/>
      <c r="F43" s="4" t="str">
        <f t="shared" ref="F43" si="36">IFERROR(SUBSTITUTE(E43,"A","")/SUBSTITUTE(D43,"A","")*100, "")</f>
        <v/>
      </c>
      <c r="G43" s="4"/>
      <c r="H43" s="4" t="str">
        <f t="shared" si="1"/>
        <v/>
      </c>
    </row>
    <row r="44" spans="1:8">
      <c r="A44" s="66"/>
      <c r="B44" s="66"/>
      <c r="C44" s="68"/>
      <c r="D44" s="4"/>
      <c r="E44" s="4"/>
      <c r="F44" s="4" t="str">
        <f t="shared" ref="F44" si="37">IFERROR(SUBSTITUTE(E44,"VAC","")/SUBSTITUTE(D44,"VAC","")*100, "")</f>
        <v/>
      </c>
      <c r="G44" s="4"/>
      <c r="H44" s="4" t="str">
        <f t="shared" si="1"/>
        <v/>
      </c>
    </row>
    <row r="45" spans="1:8">
      <c r="A45" s="67"/>
      <c r="B45" s="67"/>
      <c r="C45" s="68"/>
      <c r="D45" s="4"/>
      <c r="E45" s="4"/>
      <c r="F45" s="4" t="str">
        <f t="shared" ref="F45" si="38">IFERROR(SUBSTITUTE(E45,"A","")/SUBSTITUTE(D45,"A","")*100, "")</f>
        <v/>
      </c>
      <c r="G45" s="4"/>
      <c r="H45" s="4" t="str">
        <f t="shared" si="1"/>
        <v/>
      </c>
    </row>
    <row r="46" spans="1:8">
      <c r="A46" s="66"/>
      <c r="B46" s="66"/>
      <c r="C46" s="68"/>
      <c r="D46" s="4"/>
      <c r="E46" s="4"/>
      <c r="F46" s="4" t="str">
        <f t="shared" ref="F46" si="39">IFERROR(SUBSTITUTE(E46,"VAC","")/SUBSTITUTE(D46,"VAC","")*100, "")</f>
        <v/>
      </c>
      <c r="G46" s="4"/>
      <c r="H46" s="4" t="str">
        <f t="shared" si="1"/>
        <v/>
      </c>
    </row>
    <row r="47" spans="1:8">
      <c r="A47" s="67"/>
      <c r="B47" s="67"/>
      <c r="C47" s="68"/>
      <c r="D47" s="4"/>
      <c r="E47" s="4"/>
      <c r="F47" s="4" t="str">
        <f t="shared" ref="F47" si="40">IFERROR(SUBSTITUTE(E47,"A","")/SUBSTITUTE(D47,"A","")*100, "")</f>
        <v/>
      </c>
      <c r="G47" s="4"/>
      <c r="H47" s="4" t="str">
        <f t="shared" si="1"/>
        <v/>
      </c>
    </row>
    <row r="48" spans="1:8">
      <c r="A48" s="66"/>
      <c r="B48" s="66"/>
      <c r="C48" s="68"/>
      <c r="D48" s="4"/>
      <c r="E48" s="4"/>
      <c r="F48" s="4" t="str">
        <f t="shared" ref="F48" si="41">IFERROR(SUBSTITUTE(E48,"VAC","")/SUBSTITUTE(D48,"VAC","")*100, "")</f>
        <v/>
      </c>
      <c r="G48" s="4"/>
      <c r="H48" s="4" t="str">
        <f t="shared" si="1"/>
        <v/>
      </c>
    </row>
    <row r="49" spans="1:8">
      <c r="A49" s="67"/>
      <c r="B49" s="67"/>
      <c r="C49" s="68"/>
      <c r="D49" s="4"/>
      <c r="E49" s="4"/>
      <c r="F49" s="4" t="str">
        <f t="shared" ref="F49" si="42">IFERROR(SUBSTITUTE(E49,"A","")/SUBSTITUTE(D49,"A","")*100, "")</f>
        <v/>
      </c>
      <c r="G49" s="4"/>
      <c r="H49" s="4" t="str">
        <f t="shared" si="1"/>
        <v/>
      </c>
    </row>
    <row r="50" spans="1:8">
      <c r="A50" s="66"/>
      <c r="B50" s="66"/>
      <c r="C50" s="68"/>
      <c r="D50" s="4"/>
      <c r="E50" s="4"/>
      <c r="F50" s="4" t="str">
        <f t="shared" ref="F50" si="43">IFERROR(SUBSTITUTE(E50,"VAC","")/SUBSTITUTE(D50,"VAC","")*100, "")</f>
        <v/>
      </c>
      <c r="G50" s="4"/>
      <c r="H50" s="4" t="str">
        <f t="shared" si="1"/>
        <v/>
      </c>
    </row>
    <row r="51" spans="1:8">
      <c r="A51" s="67"/>
      <c r="B51" s="67"/>
      <c r="C51" s="68"/>
      <c r="D51" s="4"/>
      <c r="E51" s="4"/>
      <c r="F51" s="4" t="str">
        <f t="shared" ref="F51" si="44">IFERROR(SUBSTITUTE(E51,"A","")/SUBSTITUTE(D51,"A","")*100, "")</f>
        <v/>
      </c>
      <c r="G51" s="4"/>
      <c r="H51" s="4" t="str">
        <f t="shared" si="1"/>
        <v/>
      </c>
    </row>
    <row r="52" spans="1:8">
      <c r="A52" s="66"/>
      <c r="B52" s="66"/>
      <c r="C52" s="68"/>
      <c r="D52" s="4"/>
      <c r="E52" s="4"/>
      <c r="F52" s="4" t="str">
        <f t="shared" ref="F52" si="45">IFERROR(SUBSTITUTE(E52,"VAC","")/SUBSTITUTE(D52,"VAC","")*100, "")</f>
        <v/>
      </c>
      <c r="G52" s="4"/>
      <c r="H52" s="4" t="str">
        <f t="shared" si="1"/>
        <v/>
      </c>
    </row>
    <row r="53" spans="1:8">
      <c r="A53" s="67"/>
      <c r="B53" s="67"/>
      <c r="C53" s="68"/>
      <c r="D53" s="4"/>
      <c r="E53" s="4"/>
      <c r="F53" s="4" t="str">
        <f t="shared" ref="F53" si="46">IFERROR(SUBSTITUTE(E53,"A","")/SUBSTITUTE(D53,"A","")*100, "")</f>
        <v/>
      </c>
      <c r="G53" s="4"/>
      <c r="H53" s="4" t="str">
        <f t="shared" si="1"/>
        <v/>
      </c>
    </row>
    <row r="54" spans="1:8">
      <c r="A54" s="66"/>
      <c r="B54" s="66"/>
      <c r="C54" s="68"/>
      <c r="D54" s="4"/>
      <c r="E54" s="4"/>
      <c r="F54" s="4" t="str">
        <f t="shared" ref="F54" si="47">IFERROR(SUBSTITUTE(E54,"VAC","")/SUBSTITUTE(D54,"VAC","")*100, "")</f>
        <v/>
      </c>
      <c r="G54" s="4"/>
      <c r="H54" s="4" t="str">
        <f t="shared" si="1"/>
        <v/>
      </c>
    </row>
    <row r="55" spans="1:8">
      <c r="A55" s="67"/>
      <c r="B55" s="67"/>
      <c r="C55" s="68"/>
      <c r="D55" s="4"/>
      <c r="E55" s="4"/>
      <c r="F55" s="4" t="str">
        <f t="shared" ref="F55" si="48">IFERROR(SUBSTITUTE(E55,"A","")/SUBSTITUTE(D55,"A","")*100, "")</f>
        <v/>
      </c>
      <c r="G55" s="4"/>
      <c r="H55" s="4" t="str">
        <f t="shared" si="1"/>
        <v/>
      </c>
    </row>
    <row r="56" spans="1:8">
      <c r="A56" s="66"/>
      <c r="B56" s="66"/>
      <c r="C56" s="68"/>
      <c r="D56" s="4"/>
      <c r="E56" s="4"/>
      <c r="F56" s="4" t="str">
        <f t="shared" ref="F56" si="49">IFERROR(SUBSTITUTE(E56,"VAC","")/SUBSTITUTE(D56,"VAC","")*100, "")</f>
        <v/>
      </c>
      <c r="G56" s="4"/>
      <c r="H56" s="4" t="str">
        <f t="shared" si="1"/>
        <v/>
      </c>
    </row>
    <row r="57" spans="1:8">
      <c r="A57" s="67"/>
      <c r="B57" s="67"/>
      <c r="C57" s="68"/>
      <c r="D57" s="4"/>
      <c r="E57" s="4"/>
      <c r="F57" s="4" t="str">
        <f t="shared" ref="F57" si="50">IFERROR(SUBSTITUTE(E57,"A","")/SUBSTITUTE(D57,"A","")*100, "")</f>
        <v/>
      </c>
      <c r="G57" s="4"/>
      <c r="H57" s="4" t="str">
        <f t="shared" si="1"/>
        <v/>
      </c>
    </row>
    <row r="58" spans="1:8">
      <c r="A58" s="66"/>
      <c r="B58" s="66"/>
      <c r="C58" s="68"/>
      <c r="D58" s="4"/>
      <c r="E58" s="4"/>
      <c r="F58" s="4" t="str">
        <f t="shared" ref="F58" si="51">IFERROR(SUBSTITUTE(E58,"VAC","")/SUBSTITUTE(D58,"VAC","")*100, "")</f>
        <v/>
      </c>
      <c r="G58" s="4"/>
      <c r="H58" s="4" t="str">
        <f t="shared" si="1"/>
        <v/>
      </c>
    </row>
    <row r="59" spans="1:8">
      <c r="A59" s="67"/>
      <c r="B59" s="67"/>
      <c r="C59" s="68"/>
      <c r="D59" s="4"/>
      <c r="E59" s="4"/>
      <c r="F59" s="4" t="str">
        <f t="shared" ref="F59" si="52">IFERROR(SUBSTITUTE(E59,"A","")/SUBSTITUTE(D59,"A","")*100, "")</f>
        <v/>
      </c>
      <c r="G59" s="4"/>
      <c r="H59" s="4" t="str">
        <f t="shared" si="1"/>
        <v/>
      </c>
    </row>
    <row r="60" spans="1:8">
      <c r="A60" s="66"/>
      <c r="B60" s="66"/>
      <c r="C60" s="68"/>
      <c r="D60" s="4"/>
      <c r="E60" s="4"/>
      <c r="F60" s="4" t="str">
        <f t="shared" ref="F60" si="53">IFERROR(SUBSTITUTE(E60,"VAC","")/SUBSTITUTE(D60,"VAC","")*100, "")</f>
        <v/>
      </c>
      <c r="G60" s="4"/>
      <c r="H60" s="4" t="str">
        <f t="shared" si="1"/>
        <v/>
      </c>
    </row>
    <row r="61" spans="1:8">
      <c r="A61" s="67"/>
      <c r="B61" s="67"/>
      <c r="C61" s="68"/>
      <c r="D61" s="4"/>
      <c r="E61" s="4"/>
      <c r="F61" s="4" t="str">
        <f t="shared" ref="F61" si="54">IFERROR(SUBSTITUTE(E61,"A","")/SUBSTITUTE(D61,"A","")*100, "")</f>
        <v/>
      </c>
      <c r="G61" s="4"/>
      <c r="H61" s="4" t="str">
        <f t="shared" si="1"/>
        <v/>
      </c>
    </row>
    <row r="62" spans="1:8">
      <c r="A62" s="66"/>
      <c r="B62" s="66"/>
      <c r="C62" s="68"/>
      <c r="D62" s="4"/>
      <c r="E62" s="4"/>
      <c r="F62" s="4" t="str">
        <f t="shared" ref="F62" si="55">IFERROR(SUBSTITUTE(E62,"VAC","")/SUBSTITUTE(D62,"VAC","")*100, "")</f>
        <v/>
      </c>
      <c r="G62" s="4"/>
      <c r="H62" s="4" t="str">
        <f t="shared" si="1"/>
        <v/>
      </c>
    </row>
    <row r="63" spans="1:8">
      <c r="A63" s="67"/>
      <c r="B63" s="67"/>
      <c r="C63" s="68"/>
      <c r="D63" s="4"/>
      <c r="E63" s="4"/>
      <c r="F63" s="4" t="str">
        <f t="shared" ref="F63" si="56">IFERROR(SUBSTITUTE(E63,"A","")/SUBSTITUTE(D63,"A","")*100, "")</f>
        <v/>
      </c>
      <c r="G63" s="4"/>
      <c r="H63" s="4" t="str">
        <f t="shared" si="1"/>
        <v/>
      </c>
    </row>
    <row r="64" spans="1:8">
      <c r="A64" s="66"/>
      <c r="B64" s="66"/>
      <c r="C64" s="68"/>
      <c r="D64" s="4"/>
      <c r="E64" s="4"/>
      <c r="F64" s="4" t="str">
        <f t="shared" ref="F64" si="57">IFERROR(SUBSTITUTE(E64,"VAC","")/SUBSTITUTE(D64,"VAC","")*100, "")</f>
        <v/>
      </c>
      <c r="G64" s="4"/>
      <c r="H64" s="4" t="str">
        <f t="shared" si="1"/>
        <v/>
      </c>
    </row>
    <row r="65" spans="1:8">
      <c r="A65" s="67"/>
      <c r="B65" s="67"/>
      <c r="C65" s="68"/>
      <c r="D65" s="4"/>
      <c r="E65" s="4"/>
      <c r="F65" s="4" t="str">
        <f t="shared" ref="F65" si="58">IFERROR(SUBSTITUTE(E65,"A","")/SUBSTITUTE(D65,"A","")*100, "")</f>
        <v/>
      </c>
      <c r="G65" s="4"/>
      <c r="H65" s="4" t="str">
        <f t="shared" si="1"/>
        <v/>
      </c>
    </row>
  </sheetData>
  <mergeCells count="96">
    <mergeCell ref="A1:H1"/>
    <mergeCell ref="A2:B2"/>
    <mergeCell ref="D2:H2"/>
    <mergeCell ref="A3:B3"/>
    <mergeCell ref="D3:H4"/>
    <mergeCell ref="A4:B4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A12:A13"/>
    <mergeCell ref="B12:B13"/>
    <mergeCell ref="C12:C13"/>
    <mergeCell ref="A14:A15"/>
    <mergeCell ref="B14:B15"/>
    <mergeCell ref="C14:C15"/>
    <mergeCell ref="A16:A17"/>
    <mergeCell ref="B16:B17"/>
    <mergeCell ref="C16:C17"/>
    <mergeCell ref="A18:A19"/>
    <mergeCell ref="B18:B19"/>
    <mergeCell ref="C18:C19"/>
    <mergeCell ref="A20:A21"/>
    <mergeCell ref="B20:B21"/>
    <mergeCell ref="C20:C21"/>
    <mergeCell ref="A22:A23"/>
    <mergeCell ref="B22:B23"/>
    <mergeCell ref="C22:C23"/>
    <mergeCell ref="A24:A25"/>
    <mergeCell ref="B24:B25"/>
    <mergeCell ref="C24:C25"/>
    <mergeCell ref="A26:A27"/>
    <mergeCell ref="B26:B27"/>
    <mergeCell ref="C26:C27"/>
    <mergeCell ref="A28:A29"/>
    <mergeCell ref="B28:B29"/>
    <mergeCell ref="C28:C29"/>
    <mergeCell ref="A30:A31"/>
    <mergeCell ref="B30:B31"/>
    <mergeCell ref="C30:C31"/>
    <mergeCell ref="A32:A33"/>
    <mergeCell ref="B32:B33"/>
    <mergeCell ref="C32:C33"/>
    <mergeCell ref="A34:A35"/>
    <mergeCell ref="B34:B35"/>
    <mergeCell ref="C34:C35"/>
    <mergeCell ref="A36:A37"/>
    <mergeCell ref="B36:B37"/>
    <mergeCell ref="C36:C37"/>
    <mergeCell ref="A38:A39"/>
    <mergeCell ref="B38:B39"/>
    <mergeCell ref="C38:C39"/>
    <mergeCell ref="A40:A41"/>
    <mergeCell ref="B40:B41"/>
    <mergeCell ref="C40:C41"/>
    <mergeCell ref="A42:A43"/>
    <mergeCell ref="B42:B43"/>
    <mergeCell ref="C42:C43"/>
    <mergeCell ref="A44:A45"/>
    <mergeCell ref="B44:B45"/>
    <mergeCell ref="C44:C45"/>
    <mergeCell ref="A46:A47"/>
    <mergeCell ref="B46:B47"/>
    <mergeCell ref="C46:C47"/>
    <mergeCell ref="A48:A49"/>
    <mergeCell ref="B48:B49"/>
    <mergeCell ref="C48:C49"/>
    <mergeCell ref="A50:A51"/>
    <mergeCell ref="B50:B51"/>
    <mergeCell ref="C50:C51"/>
    <mergeCell ref="A52:A53"/>
    <mergeCell ref="B52:B53"/>
    <mergeCell ref="C52:C53"/>
    <mergeCell ref="A54:A55"/>
    <mergeCell ref="B54:B55"/>
    <mergeCell ref="C54:C55"/>
    <mergeCell ref="A56:A57"/>
    <mergeCell ref="B56:B57"/>
    <mergeCell ref="C56:C57"/>
    <mergeCell ref="A58:A59"/>
    <mergeCell ref="B58:B59"/>
    <mergeCell ref="C58:C59"/>
    <mergeCell ref="A60:A61"/>
    <mergeCell ref="B60:B61"/>
    <mergeCell ref="C60:C61"/>
    <mergeCell ref="A62:A63"/>
    <mergeCell ref="B62:B63"/>
    <mergeCell ref="C62:C63"/>
    <mergeCell ref="A64:A65"/>
    <mergeCell ref="B64:B65"/>
    <mergeCell ref="C64:C6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2</vt:i4>
      </vt:variant>
    </vt:vector>
  </HeadingPairs>
  <TitlesOfParts>
    <vt:vector size="14" baseType="lpstr">
      <vt:lpstr>Revision History</vt:lpstr>
      <vt:lpstr>Resistor</vt:lpstr>
      <vt:lpstr>Capacitor</vt:lpstr>
      <vt:lpstr>Inductor</vt:lpstr>
      <vt:lpstr>Diode(Schottky_switching)</vt:lpstr>
      <vt:lpstr>Diode(ESD_Zener_Surge)</vt:lpstr>
      <vt:lpstr>FET&amp;TR</vt:lpstr>
      <vt:lpstr>DCDC &amp; LDO</vt:lpstr>
      <vt:lpstr>IC</vt:lpstr>
      <vt:lpstr>Connector</vt:lpstr>
      <vt:lpstr>Fuse</vt:lpstr>
      <vt:lpstr>Relay</vt:lpstr>
      <vt:lpstr>Capacitor!Print_Area</vt:lpstr>
      <vt:lpstr>Resistor!Print_Area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요한 최</cp:lastModifiedBy>
  <dcterms:created xsi:type="dcterms:W3CDTF">2025-07-07T04:21:22Z</dcterms:created>
  <dcterms:modified xsi:type="dcterms:W3CDTF">2025-12-29T03:53:14Z</dcterms:modified>
</cp:coreProperties>
</file>